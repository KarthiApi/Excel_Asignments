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071fc39663a2a67/Documents/"/>
    </mc:Choice>
  </mc:AlternateContent>
  <xr:revisionPtr revIDLastSave="0" documentId="14_{FDE1F00A-1F1A-4AAD-B822-F65735C873F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39" i="2" l="1"/>
  <c r="D40" i="2"/>
  <c r="D3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D50" i="2"/>
  <c r="D49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D45" i="2"/>
  <c r="D44" i="2"/>
</calcChain>
</file>

<file path=xl/sharedStrings.xml><?xml version="1.0" encoding="utf-8"?>
<sst xmlns="http://schemas.openxmlformats.org/spreadsheetml/2006/main" count="180" uniqueCount="121">
  <si>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</si>
  <si>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</si>
  <si>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</si>
  <si>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</si>
  <si>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</si>
  <si>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</si>
  <si>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</si>
  <si>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</si>
  <si>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</si>
  <si>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</si>
  <si>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</si>
  <si>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</si>
  <si>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</si>
  <si>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</si>
  <si>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</si>
  <si>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</si>
  <si>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</si>
  <si>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</si>
  <si>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</si>
  <si>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</si>
  <si>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</si>
  <si>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</si>
  <si>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</si>
  <si>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</si>
  <si>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</si>
  <si>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</si>
  <si>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</si>
  <si>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</si>
  <si>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</si>
  <si>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</si>
  <si>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</si>
  <si>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</si>
  <si>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</si>
  <si>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</si>
  <si>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</si>
  <si>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</si>
  <si>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</si>
  <si>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</si>
  <si>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</si>
  <si>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</si>
  <si>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</si>
  <si>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</si>
  <si>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</si>
  <si>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</si>
  <si>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</si>
  <si>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</si>
  <si>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</si>
  <si>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</si>
  <si>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</si>
  <si>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</si>
  <si>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</si>
  <si>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</si>
  <si>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</si>
  <si>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</si>
  <si>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</si>
  <si>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</si>
  <si>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</si>
  <si>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</si>
  <si>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</si>
  <si>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</si>
  <si>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</si>
  <si>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</si>
  <si>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</si>
  <si>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</si>
  <si>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</si>
  <si>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</si>
  <si>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</si>
  <si>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</si>
  <si>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</si>
  <si>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</si>
  <si>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</si>
  <si>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</si>
  <si>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</si>
  <si>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</si>
  <si>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</si>
  <si>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</si>
  <si>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</si>
  <si>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</si>
  <si>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</si>
  <si>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</si>
  <si>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</si>
  <si>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</si>
  <si>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</si>
  <si>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</si>
  <si>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</si>
  <si>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</si>
  <si>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</si>
  <si>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</si>
  <si>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</si>
  <si>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</si>
  <si>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</si>
  <si>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</si>
  <si>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</si>
  <si>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</si>
  <si>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</si>
  <si>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</si>
  <si>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</si>
  <si>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</si>
  <si>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</si>
  <si>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</si>
  <si>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</si>
  <si>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</si>
  <si>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</si>
  <si>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</si>
  <si>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</si>
  <si>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</si>
  <si>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</si>
  <si>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</si>
  <si>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</si>
  <si>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</si>
  <si>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SUM=</t>
  </si>
  <si>
    <t>COUNT=</t>
  </si>
  <si>
    <t>AVERAGE=</t>
  </si>
  <si>
    <t>MIN=</t>
  </si>
  <si>
    <t>MAX=</t>
  </si>
  <si>
    <t>Price Range(USING IF FUNCTIONS)</t>
  </si>
  <si>
    <t>COUNTIF=</t>
  </si>
  <si>
    <t>SUMIF=</t>
  </si>
  <si>
    <t>Day(USING LEFT FUNCTION)</t>
  </si>
  <si>
    <t>Country Code(USING RIGHT FUNCTIONS)</t>
  </si>
  <si>
    <t>Month(USING MID FUNCTIONS)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</si>
</sst>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/>
    <xf numFmtId="0" fontId="7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C76A76-15C0-4CB2-883D-461B84594D7C}" name="Table1" displayName="Table1" ref="A1:J35" totalsRowShown="0" headerRowDxfId="11" dataDxfId="10">
  <autoFilter ref="A1:J35" xr:uid="{71C76A76-15C0-4CB2-883D-461B84594D7C}"/>
  <tableColumns count="10">
    <tableColumn id="1" xr3:uid="{1AC7AF4C-5BAB-4176-BF3A-A4D58A2AF1B1}" name="Product ID" dataDxfId="9"/>
    <tableColumn id="2" xr3:uid="{534B1489-4446-49AE-AD34-97294F97F6DA}" name="Product Name" dataDxfId="8"/>
    <tableColumn id="3" xr3:uid="{10E65727-324E-427A-AEAE-C96944130D5F}" name="Brand Name" dataDxfId="7"/>
    <tableColumn id="4" xr3:uid="{A1B6BB32-0317-48AB-A6A0-8B6E9979CA99}" name="Price ($)" dataDxfId="6"/>
    <tableColumn id="5" xr3:uid="{3981E217-12E6-4230-9479-5718A4C346A3}" name="Quantity" dataDxfId="5"/>
    <tableColumn id="6" xr3:uid="{D742A453-FC19-47CA-A0BA-C6E9F6E7E544}" name="Category" dataDxfId="4"/>
    <tableColumn id="7" xr3:uid="{CBE8C51C-E715-45B3-80BF-DC1598D49CA7}" name="Price Range(USING IF FUNCTIONS)" dataDxfId="3">
      <calculatedColumnFormula>IF(D2&gt;=500,"High Price","Standard Price")</calculatedColumnFormula>
    </tableColumn>
    <tableColumn id="8" xr3:uid="{3957CC64-793E-4C2A-A07B-923BA3C8F282}" name="Day(USING LEFT FUNCTION)" dataDxfId="2">
      <calculatedColumnFormula>LEFT(A2,2)</calculatedColumnFormula>
    </tableColumn>
    <tableColumn id="9" xr3:uid="{7240221C-E32A-4AA5-BE83-9D2AE2DE8EF0}" name="Country Code(USING RIGHT FUNCTIONS)" dataDxfId="1">
      <calculatedColumnFormula>RIGHT(A2,2)</calculatedColumnFormula>
    </tableColumn>
    <tableColumn id="10" xr3:uid="{C87F028F-2B84-44F0-826E-D0AB393A9D11}" name="Month(USING MID FUNCTIONS)" dataDxfId="0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2" workbookViewId="0">
      <selection activeCell="F23" sqref="F23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9" t="s">
        <v>1</v>
      </c>
    </row>
    <row r="4" spans="1:3" ht="15.75" customHeight="1" x14ac:dyDescent="0.25">
      <c r="B4" s="2"/>
      <c r="C4" s="8" t="s">
        <v>2</v>
      </c>
    </row>
    <row r="5" spans="1:3" ht="15.75" customHeight="1" x14ac:dyDescent="0.25">
      <c r="B5" s="2"/>
      <c r="C5" s="8" t="s">
        <v>3</v>
      </c>
    </row>
    <row r="6" spans="1:3" ht="15.75" customHeight="1" x14ac:dyDescent="0.25">
      <c r="B6" s="2"/>
      <c r="C6" s="8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8" t="s">
        <v>6</v>
      </c>
    </row>
    <row r="10" spans="1:3" ht="15.75" customHeight="1" x14ac:dyDescent="0.25">
      <c r="C10" s="8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9" t="s">
        <v>10</v>
      </c>
    </row>
    <row r="16" spans="1:3" ht="15.75" customHeight="1" x14ac:dyDescent="0.25">
      <c r="C16" s="8" t="s">
        <v>11</v>
      </c>
    </row>
    <row r="17" spans="2:3" ht="15.75" customHeight="1" x14ac:dyDescent="0.25">
      <c r="C17" s="8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/>
  </sheetViews>
  <sheetFormatPr defaultColWidth="12.5703125" defaultRowHeight="15" customHeight="1" x14ac:dyDescent="0.2"/>
  <cols>
    <col min="1" max="1" width="79.28515625" customWidth="1"/>
    <col min="2" max="2" width="18.5703125" bestFit="1" customWidth="1"/>
    <col min="3" max="3" width="16.85546875" bestFit="1" customWidth="1"/>
    <col min="4" max="4" width="13" bestFit="1" customWidth="1"/>
    <col min="5" max="5" width="13.140625" bestFit="1" customWidth="1"/>
    <col min="6" max="6" width="13.7109375" bestFit="1" customWidth="1"/>
    <col min="7" max="7" width="38" bestFit="1" customWidth="1"/>
    <col min="8" max="8" width="29.28515625" customWidth="1"/>
    <col min="9" max="9" width="42.85546875" customWidth="1"/>
    <col min="10" max="10" width="33.7109375" customWidth="1"/>
  </cols>
  <sheetData>
    <row r="1" spans="1:10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2" t="s">
        <v>115</v>
      </c>
      <c r="H1" s="5" t="s">
        <v>118</v>
      </c>
      <c r="I1" s="5" t="s">
        <v>119</v>
      </c>
      <c r="J1" s="5" t="s">
        <v>120</v>
      </c>
    </row>
    <row r="2" spans="1:10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11" t="str">
        <f t="shared" ref="G2:G35" si="0">IF(D2&gt;=500,"High Price","Standard Price")</f>
        <v>High Price</v>
      </c>
      <c r="H2" s="7" t="str">
        <f t="shared" ref="H2:H35" si="1">LEFT(A2,2)</f>
        <v>28</v>
      </c>
      <c r="I2" s="7" t="str">
        <f t="shared" ref="I2:I35" si="2">RIGHT(A2,2)</f>
        <v>US</v>
      </c>
      <c r="J2" s="13" t="str">
        <f t="shared" ref="J2:J35" si="3">MID(A2,4,3)</f>
        <v>JAN</v>
      </c>
    </row>
    <row r="3" spans="1:10" ht="15.75" customHeight="1" x14ac:dyDescent="0.2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11" t="str">
        <f t="shared" si="0"/>
        <v>Standard Price</v>
      </c>
      <c r="H3" s="7" t="str">
        <f t="shared" si="1"/>
        <v>15</v>
      </c>
      <c r="I3" s="7" t="str">
        <f t="shared" si="2"/>
        <v>US</v>
      </c>
      <c r="J3" s="13" t="str">
        <f t="shared" si="3"/>
        <v>FEB</v>
      </c>
    </row>
    <row r="4" spans="1:10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11" t="str">
        <f t="shared" si="0"/>
        <v>Standard Price</v>
      </c>
      <c r="H4" s="7" t="str">
        <f t="shared" si="1"/>
        <v>03</v>
      </c>
      <c r="I4" s="7" t="str">
        <f t="shared" si="2"/>
        <v>US</v>
      </c>
      <c r="J4" s="13" t="str">
        <f t="shared" si="3"/>
        <v>MAR</v>
      </c>
    </row>
    <row r="5" spans="1:10" ht="15.75" customHeight="1" x14ac:dyDescent="0.2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11" t="str">
        <f t="shared" si="0"/>
        <v>High Price</v>
      </c>
      <c r="H5" s="7" t="str">
        <f t="shared" si="1"/>
        <v>11</v>
      </c>
      <c r="I5" s="7" t="str">
        <f t="shared" si="2"/>
        <v>US</v>
      </c>
      <c r="J5" s="13" t="str">
        <f t="shared" si="3"/>
        <v>APR</v>
      </c>
    </row>
    <row r="6" spans="1:10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11" t="str">
        <f t="shared" si="0"/>
        <v>Standard Price</v>
      </c>
      <c r="H6" s="7" t="str">
        <f t="shared" si="1"/>
        <v>22</v>
      </c>
      <c r="I6" s="7" t="str">
        <f t="shared" si="2"/>
        <v>US</v>
      </c>
      <c r="J6" s="13" t="str">
        <f t="shared" si="3"/>
        <v>MAY</v>
      </c>
    </row>
    <row r="7" spans="1:10" ht="15.75" customHeight="1" x14ac:dyDescent="0.2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11" t="str">
        <f t="shared" si="0"/>
        <v>Standard Price</v>
      </c>
      <c r="H7" s="7" t="str">
        <f t="shared" si="1"/>
        <v>07</v>
      </c>
      <c r="I7" s="7" t="str">
        <f t="shared" si="2"/>
        <v>UK</v>
      </c>
      <c r="J7" s="13" t="str">
        <f t="shared" si="3"/>
        <v>JUN</v>
      </c>
    </row>
    <row r="8" spans="1:10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11" t="str">
        <f t="shared" si="0"/>
        <v>Standard Price</v>
      </c>
      <c r="H8" s="7" t="str">
        <f t="shared" si="1"/>
        <v>19</v>
      </c>
      <c r="I8" s="7" t="str">
        <f t="shared" si="2"/>
        <v>UK</v>
      </c>
      <c r="J8" s="13" t="str">
        <f t="shared" si="3"/>
        <v>JUL</v>
      </c>
    </row>
    <row r="9" spans="1:10" ht="15.75" customHeight="1" x14ac:dyDescent="0.2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11" t="str">
        <f t="shared" si="0"/>
        <v>Standard Price</v>
      </c>
      <c r="H9" s="7" t="str">
        <f t="shared" si="1"/>
        <v>23</v>
      </c>
      <c r="I9" s="7" t="str">
        <f t="shared" si="2"/>
        <v>UK</v>
      </c>
      <c r="J9" s="13" t="str">
        <f t="shared" si="3"/>
        <v>AUG</v>
      </c>
    </row>
    <row r="10" spans="1:10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11" t="str">
        <f t="shared" si="0"/>
        <v>High Price</v>
      </c>
      <c r="H10" s="7" t="str">
        <f t="shared" si="1"/>
        <v>05</v>
      </c>
      <c r="I10" s="7" t="str">
        <f t="shared" si="2"/>
        <v>UK</v>
      </c>
      <c r="J10" s="13" t="str">
        <f t="shared" si="3"/>
        <v>SEP</v>
      </c>
    </row>
    <row r="11" spans="1:10" ht="15.75" customHeight="1" x14ac:dyDescent="0.2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11" t="str">
        <f t="shared" si="0"/>
        <v>Standard Price</v>
      </c>
      <c r="H11" s="7" t="str">
        <f t="shared" si="1"/>
        <v>14</v>
      </c>
      <c r="I11" s="7" t="str">
        <f t="shared" si="2"/>
        <v>UK</v>
      </c>
      <c r="J11" s="13" t="str">
        <f t="shared" si="3"/>
        <v>OCT</v>
      </c>
    </row>
    <row r="12" spans="1:10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11" t="str">
        <f t="shared" si="0"/>
        <v>High Price</v>
      </c>
      <c r="H12" s="7" t="str">
        <f t="shared" si="1"/>
        <v>17</v>
      </c>
      <c r="I12" s="7" t="str">
        <f t="shared" si="2"/>
        <v>IN</v>
      </c>
      <c r="J12" s="13" t="str">
        <f t="shared" si="3"/>
        <v>JUN</v>
      </c>
    </row>
    <row r="13" spans="1:10" ht="15.75" customHeight="1" x14ac:dyDescent="0.2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11" t="str">
        <f t="shared" si="0"/>
        <v>Standard Price</v>
      </c>
      <c r="H13" s="7" t="str">
        <f t="shared" si="1"/>
        <v>25</v>
      </c>
      <c r="I13" s="7" t="str">
        <f t="shared" si="2"/>
        <v>AU</v>
      </c>
      <c r="J13" s="13" t="str">
        <f t="shared" si="3"/>
        <v>NOV</v>
      </c>
    </row>
    <row r="14" spans="1:10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11" t="str">
        <f t="shared" si="0"/>
        <v>Standard Price</v>
      </c>
      <c r="H14" s="7" t="str">
        <f t="shared" si="1"/>
        <v>08</v>
      </c>
      <c r="I14" s="7" t="str">
        <f t="shared" si="2"/>
        <v>DE</v>
      </c>
      <c r="J14" s="13" t="str">
        <f t="shared" si="3"/>
        <v>DEC</v>
      </c>
    </row>
    <row r="15" spans="1:10" ht="15.75" customHeight="1" x14ac:dyDescent="0.2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11" t="str">
        <f t="shared" si="0"/>
        <v>Standard Price</v>
      </c>
      <c r="H15" s="7" t="str">
        <f t="shared" si="1"/>
        <v>18</v>
      </c>
      <c r="I15" s="7" t="str">
        <f t="shared" si="2"/>
        <v>CA</v>
      </c>
      <c r="J15" s="13" t="str">
        <f t="shared" si="3"/>
        <v>FEB</v>
      </c>
    </row>
    <row r="16" spans="1:10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11" t="str">
        <f t="shared" si="0"/>
        <v>Standard Price</v>
      </c>
      <c r="H16" s="7" t="str">
        <f t="shared" si="1"/>
        <v>16</v>
      </c>
      <c r="I16" s="7" t="str">
        <f t="shared" si="2"/>
        <v>ES</v>
      </c>
      <c r="J16" s="13" t="str">
        <f t="shared" si="3"/>
        <v>APR</v>
      </c>
    </row>
    <row r="17" spans="1:10" ht="15.75" customHeight="1" x14ac:dyDescent="0.2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11" t="str">
        <f t="shared" si="0"/>
        <v>Standard Price</v>
      </c>
      <c r="H17" s="7" t="str">
        <f t="shared" si="1"/>
        <v>21</v>
      </c>
      <c r="I17" s="7" t="str">
        <f t="shared" si="2"/>
        <v>CA</v>
      </c>
      <c r="J17" s="13" t="str">
        <f t="shared" si="3"/>
        <v>AUG</v>
      </c>
    </row>
    <row r="18" spans="1:10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11" t="str">
        <f t="shared" si="0"/>
        <v>Standard Price</v>
      </c>
      <c r="H18" s="7" t="str">
        <f t="shared" si="1"/>
        <v>20</v>
      </c>
      <c r="I18" s="7" t="str">
        <f t="shared" si="2"/>
        <v>CN</v>
      </c>
      <c r="J18" s="13" t="str">
        <f t="shared" si="3"/>
        <v>AUG</v>
      </c>
    </row>
    <row r="19" spans="1:10" ht="15.75" customHeight="1" x14ac:dyDescent="0.2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11" t="str">
        <f t="shared" si="0"/>
        <v>High Price</v>
      </c>
      <c r="H19" s="7" t="str">
        <f t="shared" si="1"/>
        <v>27</v>
      </c>
      <c r="I19" s="7" t="str">
        <f t="shared" si="2"/>
        <v>IT</v>
      </c>
      <c r="J19" s="13" t="str">
        <f t="shared" si="3"/>
        <v>JAN</v>
      </c>
    </row>
    <row r="20" spans="1:10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11" t="str">
        <f t="shared" si="0"/>
        <v>Standard Price</v>
      </c>
      <c r="H20" s="7" t="str">
        <f t="shared" si="1"/>
        <v>01</v>
      </c>
      <c r="I20" s="7" t="str">
        <f t="shared" si="2"/>
        <v>UK</v>
      </c>
      <c r="J20" s="13" t="str">
        <f t="shared" si="3"/>
        <v>MAR</v>
      </c>
    </row>
    <row r="21" spans="1:10" ht="15.75" customHeight="1" x14ac:dyDescent="0.2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11" t="str">
        <f t="shared" si="0"/>
        <v>Standard Price</v>
      </c>
      <c r="H21" s="7" t="str">
        <f t="shared" si="1"/>
        <v>14</v>
      </c>
      <c r="I21" s="7" t="str">
        <f t="shared" si="2"/>
        <v>US</v>
      </c>
      <c r="J21" s="13" t="str">
        <f t="shared" si="3"/>
        <v>AUG</v>
      </c>
    </row>
    <row r="22" spans="1:10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11" t="str">
        <f t="shared" si="0"/>
        <v>High Price</v>
      </c>
      <c r="H22" s="7" t="str">
        <f t="shared" si="1"/>
        <v>14</v>
      </c>
      <c r="I22" s="7" t="str">
        <f t="shared" si="2"/>
        <v>RU</v>
      </c>
      <c r="J22" s="13" t="str">
        <f t="shared" si="3"/>
        <v>MAY</v>
      </c>
    </row>
    <row r="23" spans="1:10" ht="15.75" customHeight="1" x14ac:dyDescent="0.2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11" t="str">
        <f t="shared" si="0"/>
        <v>Standard Price</v>
      </c>
      <c r="H23" s="7" t="str">
        <f t="shared" si="1"/>
        <v>09</v>
      </c>
      <c r="I23" s="7" t="str">
        <f t="shared" si="2"/>
        <v>CA</v>
      </c>
      <c r="J23" s="13" t="str">
        <f t="shared" si="3"/>
        <v>JAN</v>
      </c>
    </row>
    <row r="24" spans="1:10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11" t="str">
        <f t="shared" si="0"/>
        <v>Standard Price</v>
      </c>
      <c r="H24" s="7" t="str">
        <f t="shared" si="1"/>
        <v>19</v>
      </c>
      <c r="I24" s="7" t="str">
        <f t="shared" si="2"/>
        <v>BR</v>
      </c>
      <c r="J24" s="13" t="str">
        <f t="shared" si="3"/>
        <v>JUL</v>
      </c>
    </row>
    <row r="25" spans="1:10" ht="15.75" customHeight="1" x14ac:dyDescent="0.2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11" t="str">
        <f t="shared" si="0"/>
        <v>Standard Price</v>
      </c>
      <c r="H25" s="7" t="str">
        <f t="shared" si="1"/>
        <v>21</v>
      </c>
      <c r="I25" s="7" t="str">
        <f t="shared" si="2"/>
        <v>CA</v>
      </c>
      <c r="J25" s="13" t="str">
        <f t="shared" si="3"/>
        <v>AUG</v>
      </c>
    </row>
    <row r="26" spans="1:10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11" t="str">
        <f t="shared" si="0"/>
        <v>High Price</v>
      </c>
      <c r="H26" s="7" t="str">
        <f t="shared" si="1"/>
        <v>29</v>
      </c>
      <c r="I26" s="7" t="str">
        <f t="shared" si="2"/>
        <v>CA</v>
      </c>
      <c r="J26" s="13" t="str">
        <f t="shared" si="3"/>
        <v>SEP</v>
      </c>
    </row>
    <row r="27" spans="1:10" ht="15.75" customHeight="1" x14ac:dyDescent="0.2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11" t="str">
        <f t="shared" si="0"/>
        <v>Standard Price</v>
      </c>
      <c r="H27" s="7" t="str">
        <f t="shared" si="1"/>
        <v>03</v>
      </c>
      <c r="I27" s="7" t="str">
        <f t="shared" si="2"/>
        <v>CA</v>
      </c>
      <c r="J27" s="13" t="str">
        <f t="shared" si="3"/>
        <v>JUN</v>
      </c>
    </row>
    <row r="28" spans="1:10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11" t="str">
        <f t="shared" si="0"/>
        <v>Standard Price</v>
      </c>
      <c r="H28" s="7" t="str">
        <f t="shared" si="1"/>
        <v>11</v>
      </c>
      <c r="I28" s="7" t="str">
        <f t="shared" si="2"/>
        <v>CA</v>
      </c>
      <c r="J28" s="13" t="str">
        <f t="shared" si="3"/>
        <v>JUL</v>
      </c>
    </row>
    <row r="29" spans="1:10" ht="15.75" customHeight="1" x14ac:dyDescent="0.2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11" t="str">
        <f t="shared" si="0"/>
        <v>Standard Price</v>
      </c>
      <c r="H29" s="7" t="str">
        <f t="shared" si="1"/>
        <v>16</v>
      </c>
      <c r="I29" s="7" t="str">
        <f t="shared" si="2"/>
        <v>ES</v>
      </c>
      <c r="J29" s="13" t="str">
        <f t="shared" si="3"/>
        <v>APR</v>
      </c>
    </row>
    <row r="30" spans="1:10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11" t="str">
        <f t="shared" si="0"/>
        <v>Standard Price</v>
      </c>
      <c r="H30" s="7" t="str">
        <f t="shared" si="1"/>
        <v>07</v>
      </c>
      <c r="I30" s="7" t="str">
        <f t="shared" si="2"/>
        <v>CA</v>
      </c>
      <c r="J30" s="13" t="str">
        <f t="shared" si="3"/>
        <v>MAR</v>
      </c>
    </row>
    <row r="31" spans="1:10" ht="15.75" customHeight="1" x14ac:dyDescent="0.2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11" t="str">
        <f t="shared" si="0"/>
        <v>Standard Price</v>
      </c>
      <c r="H31" s="7" t="str">
        <f t="shared" si="1"/>
        <v>13</v>
      </c>
      <c r="I31" s="7" t="str">
        <f t="shared" si="2"/>
        <v>CA</v>
      </c>
      <c r="J31" s="13" t="str">
        <f t="shared" si="3"/>
        <v>APR</v>
      </c>
    </row>
    <row r="32" spans="1:10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11" t="str">
        <f t="shared" si="0"/>
        <v>Standard Price</v>
      </c>
      <c r="H32" s="7" t="str">
        <f t="shared" si="1"/>
        <v>24</v>
      </c>
      <c r="I32" s="7" t="str">
        <f t="shared" si="2"/>
        <v>CA</v>
      </c>
      <c r="J32" s="13" t="str">
        <f t="shared" si="3"/>
        <v>MAY</v>
      </c>
    </row>
    <row r="33" spans="1:10" ht="15.75" customHeight="1" x14ac:dyDescent="0.2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11" t="str">
        <f t="shared" si="0"/>
        <v>Standard Price</v>
      </c>
      <c r="H33" s="7" t="str">
        <f t="shared" si="1"/>
        <v>02</v>
      </c>
      <c r="I33" s="7" t="str">
        <f t="shared" si="2"/>
        <v>CA</v>
      </c>
      <c r="J33" s="13" t="str">
        <f t="shared" si="3"/>
        <v>DEC</v>
      </c>
    </row>
    <row r="34" spans="1:10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11" t="str">
        <f t="shared" si="0"/>
        <v>High Price</v>
      </c>
      <c r="H34" s="7" t="str">
        <f t="shared" si="1"/>
        <v>17</v>
      </c>
      <c r="I34" s="7" t="str">
        <f t="shared" si="2"/>
        <v>IN</v>
      </c>
      <c r="J34" s="13" t="str">
        <f t="shared" si="3"/>
        <v>JUN</v>
      </c>
    </row>
    <row r="35" spans="1:10" ht="15.75" customHeight="1" x14ac:dyDescent="0.2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11" t="str">
        <f t="shared" si="0"/>
        <v>Standard Price</v>
      </c>
      <c r="H35" s="7" t="str">
        <f t="shared" si="1"/>
        <v>09</v>
      </c>
      <c r="I35" s="7" t="str">
        <f t="shared" si="2"/>
        <v>FR</v>
      </c>
      <c r="J35" s="13" t="str">
        <f t="shared" si="3"/>
        <v>JUL</v>
      </c>
    </row>
    <row r="36" spans="1:10" ht="15.75" customHeight="1" x14ac:dyDescent="0.2"/>
    <row r="37" spans="1:10" ht="15.75" customHeight="1" x14ac:dyDescent="0.2">
      <c r="A37" t="s">
        <v>1</v>
      </c>
    </row>
    <row r="38" spans="1:10" ht="15.75" customHeight="1" x14ac:dyDescent="0.2">
      <c r="A38" t="s">
        <v>2</v>
      </c>
      <c r="C38" s="10" t="s">
        <v>110</v>
      </c>
      <c r="D38">
        <f>SUM(D2:D35)</f>
        <v>10100</v>
      </c>
    </row>
    <row r="39" spans="1:10" ht="15.75" customHeight="1" x14ac:dyDescent="0.2">
      <c r="A39" t="s">
        <v>3</v>
      </c>
      <c r="C39" s="10" t="s">
        <v>111</v>
      </c>
      <c r="D39">
        <f>COUNTA(_xlfn.UNIQUE(B2:B35))</f>
        <v>21</v>
      </c>
    </row>
    <row r="40" spans="1:10" ht="15.75" customHeight="1" x14ac:dyDescent="0.2">
      <c r="A40" t="s">
        <v>4</v>
      </c>
      <c r="C40" s="10" t="s">
        <v>112</v>
      </c>
      <c r="D40">
        <f>AVERAGE(D2:D35)</f>
        <v>297.05882352941177</v>
      </c>
    </row>
    <row r="41" spans="1:10" ht="15.75" customHeight="1" x14ac:dyDescent="0.2"/>
    <row r="42" spans="1:10" ht="15.75" customHeight="1" x14ac:dyDescent="0.2"/>
    <row r="43" spans="1:10" ht="15.75" customHeight="1" x14ac:dyDescent="0.25">
      <c r="A43" s="2" t="s">
        <v>5</v>
      </c>
    </row>
    <row r="44" spans="1:10" ht="15.75" customHeight="1" x14ac:dyDescent="0.2">
      <c r="A44" t="s">
        <v>6</v>
      </c>
      <c r="C44" s="10" t="s">
        <v>113</v>
      </c>
      <c r="D44">
        <f>MIN(D2:D35)</f>
        <v>30</v>
      </c>
    </row>
    <row r="45" spans="1:10" ht="15.75" customHeight="1" x14ac:dyDescent="0.2">
      <c r="A45" t="s">
        <v>7</v>
      </c>
      <c r="C45" s="10" t="s">
        <v>114</v>
      </c>
      <c r="D45">
        <f>MAX(D2:D35)</f>
        <v>1000</v>
      </c>
    </row>
    <row r="46" spans="1:10" ht="15.75" customHeight="1" x14ac:dyDescent="0.2"/>
    <row r="47" spans="1:10" ht="15.75" customHeight="1" x14ac:dyDescent="0.2"/>
    <row r="48" spans="1:10" ht="15.75" customHeight="1" x14ac:dyDescent="0.2">
      <c r="A48" s="10" t="s">
        <v>10</v>
      </c>
    </row>
    <row r="49" spans="1:4" ht="15.75" customHeight="1" x14ac:dyDescent="0.2">
      <c r="A49" t="s">
        <v>11</v>
      </c>
      <c r="C49" s="10" t="s">
        <v>117</v>
      </c>
      <c r="D49">
        <f>SUMIF(F2:F35,"Electronics",D2:D35)</f>
        <v>8050</v>
      </c>
    </row>
    <row r="50" spans="1:4" ht="15.75" customHeight="1" x14ac:dyDescent="0.2">
      <c r="A50" t="s">
        <v>12</v>
      </c>
      <c r="C50" t="s">
        <v>116</v>
      </c>
      <c r="D50">
        <f>COUNTIF(D2:D35,"&lt;100")</f>
        <v>11</v>
      </c>
    </row>
    <row r="51" spans="1:4" ht="15.75" customHeight="1" x14ac:dyDescent="0.2"/>
    <row r="52" spans="1:4" ht="15.75" customHeight="1" x14ac:dyDescent="0.2"/>
    <row r="53" spans="1:4" ht="15.75" customHeight="1" x14ac:dyDescent="0.2"/>
    <row r="54" spans="1:4" ht="15.75" customHeight="1" x14ac:dyDescent="0.2"/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2025-12-23T08:25:14Z</dcterms:created>
  <dcterms:modified xsi:type="dcterms:W3CDTF">2025-12-29T03:29:55Z</dcterms:modified>
</cp:coreProperties>
</file>