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thikeyan V.H\Downloads\"/>
    </mc:Choice>
  </mc:AlternateContent>
  <xr:revisionPtr revIDLastSave="0" documentId="8_{5B776DA8-C0A5-4C47-9596-57E43D979D9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Cleaned" sheetId="7" r:id="rId2"/>
    <sheet name="Dataset Cleaning" sheetId="4" r:id="rId3"/>
    <sheet name="Datase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J3" i="4" a="1"/>
  <c r="J3" i="4" s="1"/>
  <c r="K3" i="4" s="1"/>
  <c r="J4" i="4" a="1"/>
  <c r="J4" i="4" s="1"/>
  <c r="K4" i="4" s="1"/>
  <c r="J5" i="4" a="1"/>
  <c r="J5" i="4" s="1"/>
  <c r="K5" i="4" s="1"/>
  <c r="J6" i="4" a="1"/>
  <c r="J6" i="4" s="1"/>
  <c r="K6" i="4" s="1"/>
  <c r="J7" i="4" a="1"/>
  <c r="J7" i="4" s="1"/>
  <c r="K7" i="4" s="1"/>
  <c r="J8" i="4" a="1"/>
  <c r="J8" i="4" s="1"/>
  <c r="K8" i="4" s="1"/>
  <c r="J9" i="4" a="1"/>
  <c r="J9" i="4" s="1"/>
  <c r="K9" i="4" s="1"/>
  <c r="J10" i="4" a="1"/>
  <c r="J10" i="4" s="1"/>
  <c r="K10" i="4" s="1"/>
  <c r="J11" i="4" a="1"/>
  <c r="J11" i="4" s="1"/>
  <c r="K11" i="4" s="1"/>
  <c r="J12" i="4" a="1"/>
  <c r="J12" i="4" s="1"/>
  <c r="K12" i="4" s="1"/>
  <c r="J13" i="4" a="1"/>
  <c r="J13" i="4" s="1"/>
  <c r="K13" i="4" s="1"/>
  <c r="J14" i="4" a="1"/>
  <c r="J14" i="4" s="1"/>
  <c r="K14" i="4" s="1"/>
  <c r="J15" i="4" a="1"/>
  <c r="J15" i="4" s="1"/>
  <c r="K15" i="4" s="1"/>
  <c r="J16" i="4" a="1"/>
  <c r="J16" i="4" s="1"/>
  <c r="K16" i="4" s="1"/>
  <c r="J17" i="4" a="1"/>
  <c r="J17" i="4" s="1"/>
  <c r="K17" i="4" s="1"/>
  <c r="J18" i="4" a="1"/>
  <c r="J18" i="4" s="1"/>
  <c r="K18" i="4" s="1"/>
  <c r="J19" i="4" a="1"/>
  <c r="J19" i="4" s="1"/>
  <c r="K19" i="4" s="1"/>
  <c r="J20" i="4" a="1"/>
  <c r="J20" i="4" s="1"/>
  <c r="K20" i="4" s="1"/>
  <c r="J21" i="4" a="1"/>
  <c r="J21" i="4" s="1"/>
  <c r="K21" i="4" s="1"/>
  <c r="J22" i="4" a="1"/>
  <c r="J22" i="4"/>
  <c r="K22" i="4" s="1"/>
  <c r="J23" i="4" a="1"/>
  <c r="J23" i="4" s="1"/>
  <c r="K23" i="4" s="1"/>
  <c r="J24" i="4" a="1"/>
  <c r="J24" i="4" s="1"/>
  <c r="K24" i="4" s="1"/>
  <c r="J25" i="4" a="1"/>
  <c r="J25" i="4"/>
  <c r="K25" i="4" s="1"/>
  <c r="J26" i="4" a="1"/>
  <c r="J26" i="4" s="1"/>
  <c r="K26" i="4" s="1"/>
  <c r="J27" i="4" a="1"/>
  <c r="J27" i="4" s="1"/>
  <c r="K27" i="4" s="1"/>
  <c r="J28" i="4" a="1"/>
  <c r="J28" i="4" s="1"/>
  <c r="K28" i="4" s="1"/>
  <c r="J29" i="4" a="1"/>
  <c r="J29" i="4" s="1"/>
  <c r="K29" i="4" s="1"/>
  <c r="J30" i="4" a="1"/>
  <c r="J30" i="4" s="1"/>
  <c r="K30" i="4" s="1"/>
  <c r="J31" i="4" a="1"/>
  <c r="J31" i="4" s="1"/>
  <c r="K31" i="4" s="1"/>
  <c r="J32" i="4" a="1"/>
  <c r="J32" i="4" s="1"/>
  <c r="K32" i="4" s="1"/>
  <c r="J2" i="4" a="1"/>
  <c r="J2" i="4" s="1"/>
  <c r="K2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<sst xmlns="http://schemas.openxmlformats.org/spreadsheetml/2006/main" count="486" uniqueCount="168">
  <si>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</si>
  <si>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</si>
  <si>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</si>
  <si>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</si>
  <si>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</si>
  <si>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</si>
  <si>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</si>
  <si>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</si>
  <si>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</si>
  <si>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</si>
  <si>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</si>
  <si>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</si>
  <si>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</si>
  <si>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</si>
  <si>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</si>
  <si>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</si>
  <si>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</si>
  <si>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</si>
  <si>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</si>
  <si>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</si>
  <si>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</si>
  <si>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</si>
  <si>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</si>
  <si>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</si>
  <si>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</si>
  <si>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</si>
  <si>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</si>
  <si>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</si>
  <si>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</si>
  <si>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</si>
  <si>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</si>
  <si>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</si>
  <si>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</si>
  <si>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</si>
  <si>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</si>
  <si>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</si>
  <si>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</si>
  <si>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</si>
  <si>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</si>
  <si>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</si>
  <si>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</si>
  <si>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</si>
  <si>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</si>
  <si>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</si>
  <si>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</si>
  <si>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</si>
  <si>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</si>
  <si>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</si>
  <si>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</si>
  <si>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</si>
  <si>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</si>
  <si>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</si>
  <si>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</si>
  <si>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</si>
  <si>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</si>
  <si>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</si>
  <si>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</si>
  <si>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</si>
  <si>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</si>
  <si>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</si>
  <si>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</si>
  <si>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</si>
  <si>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</si>
  <si>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</si>
  <si>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</si>
  <si>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</si>
  <si>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</si>
  <si>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</si>
  <si>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</si>
  <si>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</si>
  <si>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</si>
  <si>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</si>
  <si>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</si>
  <si>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</si>
  <si>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</si>
  <si>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</si>
  <si>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</si>
  <si>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</si>
  <si>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</si>
  <si>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</si>
  <si>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</si>
  <si>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</si>
  <si>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</si>
  <si>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</si>
  <si>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</si>
  <si>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</si>
  <si>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</si>
  <si>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</si>
  <si>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</si>
  <si>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</si>
  <si>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</si>
  <si>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</si>
  <si>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</si>
  <si>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</si>
  <si>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</si>
  <si>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</si>
  <si>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</si>
  <si>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</si>
  <si>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</si>
  <si>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</si>
  <si>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</si>
  <si>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</si>
  <si>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</si>
  <si>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</si>
  <si>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</si>
  <si>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</si>
  <si>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</si>
  <si>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</si>
  <si>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</si>
  <si>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</si>
  <si>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</si>
  <si>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</si>
  <si>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</si>
  <si>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</si>
  <si>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</si>
  <si>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</si>
  <si>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Column</t>
  </si>
  <si>
    <t>Missing_Categorry</t>
  </si>
  <si>
    <t>Product_Name</t>
  </si>
  <si>
    <t>Category_Typos_Error</t>
  </si>
  <si>
    <t>Standardtised_Text_Format_Category</t>
  </si>
  <si>
    <t>Merging_ProductName_BrandName</t>
  </si>
  <si>
    <t>Manufacturing Date</t>
  </si>
  <si>
    <t>Country_Code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</si>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</sst>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F800]dddd\,\ mmmm\ dd\,\ 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B050"/>
        <bgColor rgb="FF4DD0E1"/>
      </patternFill>
    </fill>
    <fill>
      <patternFill patternType="solid">
        <fgColor rgb="FFFFFF00"/>
        <bgColor rgb="FF4DD0E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9" fillId="0" borderId="0" xfId="0" applyFont="1"/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8" fillId="3" borderId="0" xfId="0" applyNumberFormat="1" applyFont="1" applyFill="1" applyAlignment="1">
      <alignment vertical="center"/>
    </xf>
    <xf numFmtId="0" fontId="9" fillId="0" borderId="0" xfId="0" applyFont="1" applyAlignment="1"/>
    <xf numFmtId="165" fontId="10" fillId="5" borderId="5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vertical="center"/>
    </xf>
    <xf numFmtId="165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3">
    <dxf>
      <fill>
        <gradientFill type="path">
          <stop position="0">
            <color rgb="FF00CC00"/>
          </stop>
          <stop position="1">
            <color theme="1"/>
          </stop>
        </gradient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ill>
        <gradientFill type="path">
          <stop position="0">
            <color theme="0"/>
          </stop>
          <stop position="1">
            <color theme="4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gradientFill degree="90">
          <stop position="0">
            <color theme="7"/>
          </stop>
          <stop position="1">
            <color theme="0"/>
          </stop>
        </gradientFill>
      </fill>
    </dxf>
  </dxfs>
  <tableStyles count="2" defaultTableStyle="TableStyleMedium2" defaultPivotStyle="PivotStyleLight16">
    <tableStyle name="Table Style 1" pivot="0" count="1" xr9:uid="{54315C38-9956-4AC1-93EE-E930D357F281}">
      <tableStyleElement type="wholeTable" dxfId="32"/>
    </tableStyle>
    <tableStyle name="Table Style 2" pivot="0" count="1" xr9:uid="{8E231DCB-5748-4B47-8A2C-6EE1F16B3AA5}">
      <tableStyleElement type="wholeTable" dxfId="13"/>
    </tableStyle>
  </tableStyles>
  <colors>
    <mruColors>
      <color rgb="FF00CC00"/>
      <color rgb="FF60EB3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0D6778-E605-4CA8-B7AC-605671C05878}" name="Table6" displayName="Table6" ref="A1:I32" totalsRowShown="0" headerRowDxfId="2" dataDxfId="1">
  <autoFilter ref="A1:I32" xr:uid="{6D0D6778-E605-4CA8-B7AC-605671C05878}"/>
  <tableColumns count="9">
    <tableColumn id="1" xr3:uid="{F13EF91E-5967-458E-9069-2A6FD8A889F3}" name="Product ID" dataDxfId="11"/>
    <tableColumn id="2" xr3:uid="{6E2C4FBF-7D47-4DF8-9C55-1B4A98DEEF14}" name="Manufacturing Date" dataDxfId="10"/>
    <tableColumn id="3" xr3:uid="{8F96F513-DEC8-40A2-B718-E69204730FCD}" name="CountryCode" dataDxfId="9"/>
    <tableColumn id="4" xr3:uid="{E5028035-2F04-4E43-88F0-6077E5EB4F6F}" name="Product Name" dataDxfId="8"/>
    <tableColumn id="5" xr3:uid="{B903A172-FAE1-4335-85A7-E58F5BE38EDE}" name="Brand Name" dataDxfId="7"/>
    <tableColumn id="6" xr3:uid="{B8163980-BB5E-4583-A838-4657E97692EA}" name="Merging_ProductName_BrandName" dataDxfId="6"/>
    <tableColumn id="7" xr3:uid="{D28B228C-A0BA-42E9-927F-695C2CB34519}" name="Price Column" dataDxfId="5"/>
    <tableColumn id="8" xr3:uid="{BA8BD36F-500E-4DD3-ADFF-3686287A8BE0}" name="Quantity" dataDxfId="4"/>
    <tableColumn id="9" xr3:uid="{52C58FFF-CE52-4691-B7DC-A1C031EF896C}" name="Standardtised_Text_Format_Category" dataDxfId="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9F991-6502-451A-84FA-F37DD603263B}" name="Table1" displayName="Table1" ref="A1:N32" totalsRowShown="0" headerRowDxfId="31" dataDxfId="30" headerRowBorderDxfId="28" tableBorderDxfId="29" totalsRowBorderDxfId="27">
  <autoFilter ref="A1:N32" xr:uid="{4329F991-6502-451A-84FA-F37DD603263B}"/>
  <tableColumns count="14">
    <tableColumn id="1" xr3:uid="{03C168E8-F0AB-467D-9BBC-9F26CE57BF3B}" name="Product ID" dataDxfId="26"/>
    <tableColumn id="2" xr3:uid="{957BB102-4C16-4153-ABED-2B644A0D737B}" name="Product Name" dataDxfId="25"/>
    <tableColumn id="3" xr3:uid="{98D9EBDE-8C4B-4892-BA96-74D6A606FCDC}" name="Brand Name" dataDxfId="24"/>
    <tableColumn id="4" xr3:uid="{67FEC643-8839-4A74-BF64-42F3ACEBED83}" name="Price ($)" dataDxfId="23"/>
    <tableColumn id="5" xr3:uid="{75773789-159A-4E9D-BA28-617C0119FFF2}" name="Quantity" dataDxfId="22"/>
    <tableColumn id="6" xr3:uid="{6EF4B959-4E2E-4E2B-BDAA-DB919749F4EB}" name="Category" dataDxfId="21"/>
    <tableColumn id="7" xr3:uid="{E18F2CBE-1239-45C3-91D5-7C4E8E018A6B}" name="Price Column" dataDxfId="20">
      <calculatedColumnFormula>IF(D2="",MEDIAN($D$2:$D$32),D2)</calculatedColumnFormula>
    </tableColumn>
    <tableColumn id="8" xr3:uid="{7EB6144C-6780-49C7-A69C-4794E5E3C06C}" name="Missing_Categorry" dataDxfId="19">
      <calculatedColumnFormula>IF(F2="","Electronics",F2)</calculatedColumnFormula>
    </tableColumn>
    <tableColumn id="9" xr3:uid="{09173E69-578E-4D97-BE39-70FFF92B6FD5}" name="Product_Name" dataDxfId="18">
      <calculatedColumnFormula>PROPER(B2)</calculatedColumnFormula>
    </tableColumn>
    <tableColumn id="10" xr3:uid="{207781CE-7EFA-4412-9B05-F598991C7316}" name="Category_Typos_Error" dataDxfId="17">
      <calculatedColumnFormula array="1">IF(F2="",_xlfn.SWITCH($B$2,"Laptop","Electronics","smartphone","Electronics","Tablet","Electronics","Headphones","Electronics","Blender","Kitchen","Coffee Maker","Kitchen","Sneakers","Fashion","T-shirt","Fashion",""),_xlfn.SWITCH(F2,"Electroni","Electronics","Electronics","Electronics","Fashion","Fashion","Kitchen","Kitchen","Outdoor","Outdoor","Accessories","Accessories"))</calculatedColumnFormula>
    </tableColumn>
    <tableColumn id="11" xr3:uid="{35F25F93-C593-41F7-9835-DC52110E203D}" name="Standardtised_Text_Format_Category" dataDxfId="16">
      <calculatedColumnFormula>PROPER(J2)</calculatedColumnFormula>
    </tableColumn>
    <tableColumn id="12" xr3:uid="{9933B906-89F6-4D2A-9517-A5358CEBF4CB}" name="Merging_ProductName_BrandName" dataDxfId="15">
      <calculatedColumnFormula>PROPER(CONCATENATE(B2,"-",C2))</calculatedColumnFormula>
    </tableColumn>
    <tableColumn id="13" xr3:uid="{4E04C0A0-2331-4248-978F-6849A41C9131}" name="Manufacturing Date" dataDxfId="12">
      <calculatedColumnFormula>DATE(2025, MONTH(DATEVALUE(MID(A2,4,3)&amp;" 1")), LEFT(A2,2))</calculatedColumnFormula>
    </tableColumn>
    <tableColumn id="14" xr3:uid="{9DE473AA-F02D-430A-84FB-54E253BD6B98}" name="Country_Code" dataDxfId="14">
      <calculatedColumnFormula>RIGHT(A2,2)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2" workbookViewId="0">
      <selection activeCell="C23" sqref="C23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12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28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B3B7-A947-46A6-BA93-0C3E497CE74B}">
  <dimension ref="A1:I32"/>
  <sheetViews>
    <sheetView tabSelected="1" workbookViewId="0">
      <selection activeCell="D4" sqref="D4"/>
    </sheetView>
  </sheetViews>
  <sheetFormatPr defaultRowHeight="12.75" x14ac:dyDescent="0.2"/>
  <cols>
    <col min="1" max="1" width="12.7109375" bestFit="1" customWidth="1"/>
    <col min="2" max="2" width="21.28515625" style="31" bestFit="1" customWidth="1"/>
    <col min="3" max="3" width="15" bestFit="1" customWidth="1"/>
    <col min="4" max="4" width="16.28515625" bestFit="1" customWidth="1"/>
    <col min="5" max="5" width="14.5703125" bestFit="1" customWidth="1"/>
    <col min="6" max="6" width="36.5703125" bestFit="1" customWidth="1"/>
    <col min="7" max="7" width="15.7109375" bestFit="1" customWidth="1"/>
    <col min="8" max="8" width="10.85546875" bestFit="1" customWidth="1"/>
    <col min="9" max="9" width="38.28515625" bestFit="1" customWidth="1"/>
  </cols>
  <sheetData>
    <row r="1" spans="1:9" x14ac:dyDescent="0.2">
      <c r="A1" s="32" t="s">
        <v>19</v>
      </c>
      <c r="B1" s="33" t="s">
        <v>122</v>
      </c>
      <c r="C1" s="32" t="s">
        <v>167</v>
      </c>
      <c r="D1" s="32" t="s">
        <v>20</v>
      </c>
      <c r="E1" s="32" t="s">
        <v>21</v>
      </c>
      <c r="F1" s="32" t="s">
        <v>121</v>
      </c>
      <c r="G1" s="32" t="s">
        <v>116</v>
      </c>
      <c r="H1" s="32" t="s">
        <v>23</v>
      </c>
      <c r="I1" s="32" t="s">
        <v>120</v>
      </c>
    </row>
    <row r="2" spans="1:9" x14ac:dyDescent="0.2">
      <c r="A2" s="32" t="s">
        <v>25</v>
      </c>
      <c r="B2" s="33">
        <v>45685</v>
      </c>
      <c r="C2" s="32" t="s">
        <v>124</v>
      </c>
      <c r="D2" s="32" t="s">
        <v>26</v>
      </c>
      <c r="E2" s="32" t="s">
        <v>27</v>
      </c>
      <c r="F2" s="32" t="s">
        <v>136</v>
      </c>
      <c r="G2" s="32">
        <v>1000</v>
      </c>
      <c r="H2" s="32">
        <v>30</v>
      </c>
      <c r="I2" s="32" t="s">
        <v>28</v>
      </c>
    </row>
    <row r="3" spans="1:9" x14ac:dyDescent="0.2">
      <c r="A3" s="32" t="s">
        <v>78</v>
      </c>
      <c r="B3" s="33">
        <v>45703</v>
      </c>
      <c r="C3" s="32" t="s">
        <v>132</v>
      </c>
      <c r="D3" s="32" t="s">
        <v>26</v>
      </c>
      <c r="E3" s="32" t="s">
        <v>79</v>
      </c>
      <c r="F3" s="32" t="s">
        <v>153</v>
      </c>
      <c r="G3" s="32">
        <v>980</v>
      </c>
      <c r="H3" s="32">
        <v>10</v>
      </c>
      <c r="I3" s="32" t="s">
        <v>28</v>
      </c>
    </row>
    <row r="4" spans="1:9" x14ac:dyDescent="0.2">
      <c r="A4" s="32" t="s">
        <v>60</v>
      </c>
      <c r="B4" s="33">
        <v>45719</v>
      </c>
      <c r="C4" s="32" t="s">
        <v>126</v>
      </c>
      <c r="D4" s="32" t="s">
        <v>61</v>
      </c>
      <c r="E4" s="32" t="s">
        <v>62</v>
      </c>
      <c r="F4" s="32" t="s">
        <v>146</v>
      </c>
      <c r="G4" s="32">
        <v>950</v>
      </c>
      <c r="H4" s="32">
        <v>25</v>
      </c>
      <c r="I4" s="32" t="s">
        <v>28</v>
      </c>
    </row>
    <row r="5" spans="1:9" x14ac:dyDescent="0.2">
      <c r="A5" s="32" t="s">
        <v>37</v>
      </c>
      <c r="B5" s="33">
        <v>45758</v>
      </c>
      <c r="C5" s="32" t="s">
        <v>124</v>
      </c>
      <c r="D5" s="32" t="s">
        <v>38</v>
      </c>
      <c r="E5" s="32" t="s">
        <v>39</v>
      </c>
      <c r="F5" s="32" t="s">
        <v>139</v>
      </c>
      <c r="G5" s="32">
        <v>900</v>
      </c>
      <c r="H5" s="32">
        <v>25</v>
      </c>
      <c r="I5" s="32" t="s">
        <v>28</v>
      </c>
    </row>
    <row r="6" spans="1:9" x14ac:dyDescent="0.2">
      <c r="A6" s="32" t="s">
        <v>95</v>
      </c>
      <c r="B6" s="33">
        <v>45799</v>
      </c>
      <c r="C6" s="32" t="s">
        <v>129</v>
      </c>
      <c r="D6" s="32" t="s">
        <v>96</v>
      </c>
      <c r="E6" s="32" t="s">
        <v>97</v>
      </c>
      <c r="F6" s="32" t="s">
        <v>159</v>
      </c>
      <c r="G6" s="32">
        <v>800</v>
      </c>
      <c r="H6" s="32">
        <v>45</v>
      </c>
      <c r="I6" s="32" t="s">
        <v>28</v>
      </c>
    </row>
    <row r="7" spans="1:9" x14ac:dyDescent="0.2">
      <c r="A7" s="32" t="s">
        <v>86</v>
      </c>
      <c r="B7" s="33">
        <v>45815</v>
      </c>
      <c r="C7" s="32" t="s">
        <v>133</v>
      </c>
      <c r="D7" s="32" t="s">
        <v>87</v>
      </c>
      <c r="E7" s="32" t="s">
        <v>88</v>
      </c>
      <c r="F7" s="32" t="s">
        <v>156</v>
      </c>
      <c r="G7" s="32">
        <v>700</v>
      </c>
      <c r="H7" s="32">
        <v>50</v>
      </c>
      <c r="I7" s="32" t="s">
        <v>28</v>
      </c>
    </row>
    <row r="8" spans="1:9" x14ac:dyDescent="0.2">
      <c r="A8" s="32" t="s">
        <v>53</v>
      </c>
      <c r="B8" s="33">
        <v>45857</v>
      </c>
      <c r="C8" s="32" t="s">
        <v>125</v>
      </c>
      <c r="D8" s="32" t="s">
        <v>54</v>
      </c>
      <c r="E8" s="32" t="s">
        <v>55</v>
      </c>
      <c r="F8" s="32" t="s">
        <v>144</v>
      </c>
      <c r="G8" s="32">
        <v>500</v>
      </c>
      <c r="H8" s="32">
        <v>50</v>
      </c>
      <c r="I8" s="32" t="s">
        <v>28</v>
      </c>
    </row>
    <row r="9" spans="1:9" x14ac:dyDescent="0.2">
      <c r="A9" s="32" t="s">
        <v>100</v>
      </c>
      <c r="B9" s="33">
        <v>45892</v>
      </c>
      <c r="C9" s="32" t="s">
        <v>129</v>
      </c>
      <c r="D9" s="32" t="s">
        <v>51</v>
      </c>
      <c r="E9" s="32" t="s">
        <v>101</v>
      </c>
      <c r="F9" s="32" t="s">
        <v>161</v>
      </c>
      <c r="G9" s="32">
        <v>400</v>
      </c>
      <c r="H9" s="32">
        <v>40</v>
      </c>
      <c r="I9" s="32" t="s">
        <v>36</v>
      </c>
    </row>
    <row r="10" spans="1:9" x14ac:dyDescent="0.2">
      <c r="A10" s="32" t="s">
        <v>69</v>
      </c>
      <c r="B10" s="33">
        <v>45905</v>
      </c>
      <c r="C10" s="32" t="s">
        <v>130</v>
      </c>
      <c r="D10" s="32" t="s">
        <v>70</v>
      </c>
      <c r="E10" s="32" t="s">
        <v>71</v>
      </c>
      <c r="F10" s="32" t="s">
        <v>150</v>
      </c>
      <c r="G10" s="32">
        <v>250</v>
      </c>
      <c r="H10" s="32">
        <v>20</v>
      </c>
      <c r="I10" s="32" t="s">
        <v>28</v>
      </c>
    </row>
    <row r="11" spans="1:9" x14ac:dyDescent="0.2">
      <c r="A11" s="32" t="s">
        <v>76</v>
      </c>
      <c r="B11" s="33">
        <v>45944</v>
      </c>
      <c r="C11" s="32" t="s">
        <v>131</v>
      </c>
      <c r="D11" s="32" t="s">
        <v>67</v>
      </c>
      <c r="E11" s="32" t="s">
        <v>77</v>
      </c>
      <c r="F11" s="32" t="s">
        <v>152</v>
      </c>
      <c r="G11" s="32">
        <v>160</v>
      </c>
      <c r="H11" s="32">
        <v>15</v>
      </c>
      <c r="I11" s="32" t="s">
        <v>28</v>
      </c>
    </row>
    <row r="12" spans="1:9" x14ac:dyDescent="0.2">
      <c r="A12" s="32" t="s">
        <v>66</v>
      </c>
      <c r="B12" s="33">
        <v>45825</v>
      </c>
      <c r="C12" s="32" t="s">
        <v>129</v>
      </c>
      <c r="D12" s="32" t="s">
        <v>67</v>
      </c>
      <c r="E12" s="32" t="s">
        <v>68</v>
      </c>
      <c r="F12" s="32" t="s">
        <v>149</v>
      </c>
      <c r="G12" s="32">
        <v>150</v>
      </c>
      <c r="H12" s="32">
        <v>15</v>
      </c>
      <c r="I12" s="32" t="s">
        <v>28</v>
      </c>
    </row>
    <row r="13" spans="1:9" x14ac:dyDescent="0.2">
      <c r="A13" s="32" t="s">
        <v>80</v>
      </c>
      <c r="B13" s="33">
        <v>45986</v>
      </c>
      <c r="C13" s="32" t="s">
        <v>125</v>
      </c>
      <c r="D13" s="32" t="s">
        <v>81</v>
      </c>
      <c r="E13" s="32" t="s">
        <v>82</v>
      </c>
      <c r="F13" s="32" t="s">
        <v>154</v>
      </c>
      <c r="G13" s="32">
        <v>150</v>
      </c>
      <c r="H13" s="32">
        <v>15</v>
      </c>
      <c r="I13" s="32" t="s">
        <v>32</v>
      </c>
    </row>
    <row r="14" spans="1:9" x14ac:dyDescent="0.2">
      <c r="A14" s="32" t="s">
        <v>92</v>
      </c>
      <c r="B14" s="33">
        <v>45999</v>
      </c>
      <c r="C14" s="32" t="s">
        <v>134</v>
      </c>
      <c r="D14" s="32" t="s">
        <v>93</v>
      </c>
      <c r="E14" s="32" t="s">
        <v>94</v>
      </c>
      <c r="F14" s="32" t="s">
        <v>158</v>
      </c>
      <c r="G14" s="32">
        <v>150</v>
      </c>
      <c r="H14" s="32">
        <v>30</v>
      </c>
      <c r="I14" s="32" t="s">
        <v>28</v>
      </c>
    </row>
    <row r="15" spans="1:9" x14ac:dyDescent="0.2">
      <c r="A15" s="32" t="s">
        <v>33</v>
      </c>
      <c r="B15" s="33">
        <v>45706</v>
      </c>
      <c r="C15" s="32" t="s">
        <v>124</v>
      </c>
      <c r="D15" s="32" t="s">
        <v>34</v>
      </c>
      <c r="E15" s="32" t="s">
        <v>35</v>
      </c>
      <c r="F15" s="32" t="s">
        <v>138</v>
      </c>
      <c r="G15" s="32">
        <v>130</v>
      </c>
      <c r="H15" s="32">
        <v>40</v>
      </c>
      <c r="I15" s="32" t="s">
        <v>36</v>
      </c>
    </row>
    <row r="16" spans="1:9" x14ac:dyDescent="0.2">
      <c r="A16" s="32" t="s">
        <v>43</v>
      </c>
      <c r="B16" s="33">
        <v>45763</v>
      </c>
      <c r="C16" s="32" t="s">
        <v>125</v>
      </c>
      <c r="D16" s="32" t="s">
        <v>44</v>
      </c>
      <c r="E16" s="32" t="s">
        <v>45</v>
      </c>
      <c r="F16" s="32" t="s">
        <v>141</v>
      </c>
      <c r="G16" s="32">
        <v>130</v>
      </c>
      <c r="H16" s="32">
        <v>45</v>
      </c>
      <c r="I16" s="32" t="s">
        <v>28</v>
      </c>
    </row>
    <row r="17" spans="1:9" x14ac:dyDescent="0.2">
      <c r="A17" s="32" t="s">
        <v>56</v>
      </c>
      <c r="B17" s="33">
        <v>45890</v>
      </c>
      <c r="C17" s="32" t="s">
        <v>125</v>
      </c>
      <c r="D17" s="32" t="s">
        <v>57</v>
      </c>
      <c r="E17" s="32" t="s">
        <v>58</v>
      </c>
      <c r="F17" s="32" t="s">
        <v>145</v>
      </c>
      <c r="G17" s="32">
        <v>130</v>
      </c>
      <c r="H17" s="32">
        <v>10</v>
      </c>
      <c r="I17" s="32" t="s">
        <v>59</v>
      </c>
    </row>
    <row r="18" spans="1:9" x14ac:dyDescent="0.2">
      <c r="A18" s="32" t="s">
        <v>83</v>
      </c>
      <c r="B18" s="33">
        <v>45889</v>
      </c>
      <c r="C18" s="32" t="s">
        <v>124</v>
      </c>
      <c r="D18" s="32" t="s">
        <v>84</v>
      </c>
      <c r="E18" s="32" t="s">
        <v>85</v>
      </c>
      <c r="F18" s="32" t="s">
        <v>155</v>
      </c>
      <c r="G18" s="32">
        <v>130</v>
      </c>
      <c r="H18" s="32">
        <v>10</v>
      </c>
      <c r="I18" s="32" t="s">
        <v>59</v>
      </c>
    </row>
    <row r="19" spans="1:9" x14ac:dyDescent="0.2">
      <c r="A19" s="32" t="s">
        <v>98</v>
      </c>
      <c r="B19" s="33">
        <v>45684</v>
      </c>
      <c r="C19" s="32" t="s">
        <v>129</v>
      </c>
      <c r="D19" s="32" t="s">
        <v>81</v>
      </c>
      <c r="E19" s="32" t="s">
        <v>99</v>
      </c>
      <c r="F19" s="32" t="s">
        <v>160</v>
      </c>
      <c r="G19" s="32">
        <v>130</v>
      </c>
      <c r="H19" s="32">
        <v>25</v>
      </c>
      <c r="I19" s="32" t="s">
        <v>32</v>
      </c>
    </row>
    <row r="20" spans="1:9" x14ac:dyDescent="0.2">
      <c r="A20" s="32" t="s">
        <v>108</v>
      </c>
      <c r="B20" s="33">
        <v>45717</v>
      </c>
      <c r="C20" s="32" t="s">
        <v>129</v>
      </c>
      <c r="D20" s="32" t="s">
        <v>93</v>
      </c>
      <c r="E20" s="32" t="s">
        <v>109</v>
      </c>
      <c r="F20" s="32" t="s">
        <v>164</v>
      </c>
      <c r="G20" s="32">
        <v>130</v>
      </c>
      <c r="H20" s="32">
        <v>5</v>
      </c>
      <c r="I20" s="32" t="s">
        <v>28</v>
      </c>
    </row>
    <row r="21" spans="1:9" x14ac:dyDescent="0.2">
      <c r="A21" s="32" t="s">
        <v>64</v>
      </c>
      <c r="B21" s="33">
        <v>45883</v>
      </c>
      <c r="C21" s="32" t="s">
        <v>128</v>
      </c>
      <c r="D21" s="32" t="s">
        <v>34</v>
      </c>
      <c r="E21" s="32" t="s">
        <v>65</v>
      </c>
      <c r="F21" s="32" t="s">
        <v>148</v>
      </c>
      <c r="G21" s="32">
        <v>120</v>
      </c>
      <c r="H21" s="32">
        <v>35</v>
      </c>
      <c r="I21" s="32" t="s">
        <v>28</v>
      </c>
    </row>
    <row r="22" spans="1:9" x14ac:dyDescent="0.2">
      <c r="A22" s="32" t="s">
        <v>113</v>
      </c>
      <c r="B22" s="33">
        <v>45791</v>
      </c>
      <c r="C22" s="32" t="s">
        <v>135</v>
      </c>
      <c r="D22" s="32" t="s">
        <v>114</v>
      </c>
      <c r="E22" s="32" t="s">
        <v>115</v>
      </c>
      <c r="F22" s="32" t="s">
        <v>166</v>
      </c>
      <c r="G22" s="32">
        <v>100</v>
      </c>
      <c r="H22" s="32">
        <v>20</v>
      </c>
      <c r="I22" s="32" t="s">
        <v>75</v>
      </c>
    </row>
    <row r="23" spans="1:9" x14ac:dyDescent="0.2">
      <c r="A23" s="32" t="s">
        <v>50</v>
      </c>
      <c r="B23" s="33">
        <v>45666</v>
      </c>
      <c r="C23" s="32" t="s">
        <v>125</v>
      </c>
      <c r="D23" s="32" t="s">
        <v>51</v>
      </c>
      <c r="E23" s="32" t="s">
        <v>52</v>
      </c>
      <c r="F23" s="32" t="s">
        <v>143</v>
      </c>
      <c r="G23" s="32">
        <v>90</v>
      </c>
      <c r="H23" s="32">
        <v>35</v>
      </c>
      <c r="I23" s="32" t="s">
        <v>36</v>
      </c>
    </row>
    <row r="24" spans="1:9" x14ac:dyDescent="0.2">
      <c r="A24" s="32" t="s">
        <v>63</v>
      </c>
      <c r="B24" s="33">
        <v>45857</v>
      </c>
      <c r="C24" s="32" t="s">
        <v>127</v>
      </c>
      <c r="D24" s="32" t="s">
        <v>30</v>
      </c>
      <c r="E24" s="32" t="s">
        <v>49</v>
      </c>
      <c r="F24" s="32" t="s">
        <v>147</v>
      </c>
      <c r="G24" s="32">
        <v>90</v>
      </c>
      <c r="H24" s="32">
        <v>40</v>
      </c>
      <c r="I24" s="32" t="s">
        <v>28</v>
      </c>
    </row>
    <row r="25" spans="1:9" x14ac:dyDescent="0.2">
      <c r="A25" s="32" t="s">
        <v>29</v>
      </c>
      <c r="B25" s="33">
        <v>45929</v>
      </c>
      <c r="C25" s="32" t="s">
        <v>124</v>
      </c>
      <c r="D25" s="32" t="s">
        <v>30</v>
      </c>
      <c r="E25" s="32" t="s">
        <v>31</v>
      </c>
      <c r="F25" s="32" t="s">
        <v>137</v>
      </c>
      <c r="G25" s="32">
        <v>80</v>
      </c>
      <c r="H25" s="32">
        <v>15</v>
      </c>
      <c r="I25" s="32" t="s">
        <v>32</v>
      </c>
    </row>
    <row r="26" spans="1:9" x14ac:dyDescent="0.2">
      <c r="A26" s="32" t="s">
        <v>89</v>
      </c>
      <c r="B26" s="33">
        <v>45811</v>
      </c>
      <c r="C26" s="32" t="s">
        <v>129</v>
      </c>
      <c r="D26" s="32" t="s">
        <v>90</v>
      </c>
      <c r="E26" s="32" t="s">
        <v>91</v>
      </c>
      <c r="F26" s="32" t="s">
        <v>157</v>
      </c>
      <c r="G26" s="32">
        <v>80</v>
      </c>
      <c r="H26" s="32">
        <v>20</v>
      </c>
      <c r="I26" s="32" t="s">
        <v>36</v>
      </c>
    </row>
    <row r="27" spans="1:9" x14ac:dyDescent="0.2">
      <c r="A27" s="32" t="s">
        <v>40</v>
      </c>
      <c r="B27" s="33">
        <v>45849</v>
      </c>
      <c r="C27" s="32" t="s">
        <v>124</v>
      </c>
      <c r="D27" s="32" t="s">
        <v>41</v>
      </c>
      <c r="E27" s="32" t="s">
        <v>42</v>
      </c>
      <c r="F27" s="32" t="s">
        <v>140</v>
      </c>
      <c r="G27" s="32">
        <v>70</v>
      </c>
      <c r="H27" s="32">
        <v>20</v>
      </c>
      <c r="I27" s="32" t="s">
        <v>28</v>
      </c>
    </row>
    <row r="28" spans="1:9" x14ac:dyDescent="0.2">
      <c r="A28" s="32" t="s">
        <v>102</v>
      </c>
      <c r="B28" s="33">
        <v>45723</v>
      </c>
      <c r="C28" s="32" t="s">
        <v>129</v>
      </c>
      <c r="D28" s="32" t="s">
        <v>103</v>
      </c>
      <c r="E28" s="32" t="s">
        <v>104</v>
      </c>
      <c r="F28" s="32" t="s">
        <v>162</v>
      </c>
      <c r="G28" s="32">
        <v>60</v>
      </c>
      <c r="H28" s="32">
        <v>30</v>
      </c>
      <c r="I28" s="32" t="s">
        <v>32</v>
      </c>
    </row>
    <row r="29" spans="1:9" x14ac:dyDescent="0.2">
      <c r="A29" s="32" t="s">
        <v>72</v>
      </c>
      <c r="B29" s="33">
        <v>45760</v>
      </c>
      <c r="C29" s="32" t="s">
        <v>129</v>
      </c>
      <c r="D29" s="32" t="s">
        <v>73</v>
      </c>
      <c r="E29" s="32" t="s">
        <v>74</v>
      </c>
      <c r="F29" s="32" t="s">
        <v>151</v>
      </c>
      <c r="G29" s="32">
        <v>50</v>
      </c>
      <c r="H29" s="32">
        <v>35</v>
      </c>
      <c r="I29" s="32" t="s">
        <v>75</v>
      </c>
    </row>
    <row r="30" spans="1:9" x14ac:dyDescent="0.2">
      <c r="A30" s="32" t="s">
        <v>110</v>
      </c>
      <c r="B30" s="33">
        <v>45801</v>
      </c>
      <c r="C30" s="32" t="s">
        <v>129</v>
      </c>
      <c r="D30" s="32" t="s">
        <v>111</v>
      </c>
      <c r="E30" s="32" t="s">
        <v>112</v>
      </c>
      <c r="F30" s="32" t="s">
        <v>165</v>
      </c>
      <c r="G30" s="32">
        <v>50</v>
      </c>
      <c r="H30" s="32">
        <v>50</v>
      </c>
      <c r="I30" s="32" t="s">
        <v>32</v>
      </c>
    </row>
    <row r="31" spans="1:9" x14ac:dyDescent="0.2">
      <c r="A31" s="32" t="s">
        <v>105</v>
      </c>
      <c r="B31" s="33">
        <v>45993</v>
      </c>
      <c r="C31" s="32" t="s">
        <v>129</v>
      </c>
      <c r="D31" s="32" t="s">
        <v>106</v>
      </c>
      <c r="E31" s="32" t="s">
        <v>107</v>
      </c>
      <c r="F31" s="32" t="s">
        <v>163</v>
      </c>
      <c r="G31" s="32">
        <v>40</v>
      </c>
      <c r="H31" s="32">
        <v>10</v>
      </c>
      <c r="I31" s="32" t="s">
        <v>36</v>
      </c>
    </row>
    <row r="32" spans="1:9" x14ac:dyDescent="0.2">
      <c r="A32" s="32" t="s">
        <v>47</v>
      </c>
      <c r="B32" s="33">
        <v>45847</v>
      </c>
      <c r="C32" s="32" t="s">
        <v>125</v>
      </c>
      <c r="D32" s="32" t="s">
        <v>48</v>
      </c>
      <c r="E32" s="32" t="s">
        <v>49</v>
      </c>
      <c r="F32" s="32" t="s">
        <v>142</v>
      </c>
      <c r="G32" s="32">
        <v>30</v>
      </c>
      <c r="H32" s="32">
        <v>5</v>
      </c>
      <c r="I32" s="32" t="s">
        <v>32</v>
      </c>
    </row>
  </sheetData>
  <conditionalFormatting sqref="G2:G32">
    <cfRule type="dataBar" priority="3">
      <dataBar>
        <cfvo type="min"/>
        <cfvo type="max"/>
        <color rgb="FF60EB3F"/>
      </dataBar>
      <extLst>
        <ext xmlns:x14="http://schemas.microsoft.com/office/spreadsheetml/2009/9/main" uri="{B025F937-C7B1-47D3-B67F-A62EFF666E3E}">
          <x14:id>{4928E01C-43E6-4377-BF1A-2DE74052D30B}</x14:id>
        </ext>
      </extLst>
    </cfRule>
  </conditionalFormatting>
  <conditionalFormatting sqref="H2:H32">
    <cfRule type="iconSet" priority="2">
      <iconSet iconSet="3Signs">
        <cfvo type="percent" val="0"/>
        <cfvo type="percent" val="33"/>
        <cfvo type="percent" val="67"/>
      </iconSet>
    </cfRule>
  </conditionalFormatting>
  <conditionalFormatting sqref="I2:I32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28E01C-43E6-4377-BF1A-2DE74052D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11CE-1444-436D-99C9-4D8B6C716927}">
  <sheetPr>
    <outlinePr summaryBelow="0" summaryRight="0"/>
  </sheetPr>
  <dimension ref="A1:P1000"/>
  <sheetViews>
    <sheetView topLeftCell="G1" workbookViewId="0">
      <selection activeCell="M1" sqref="M1:M1048576"/>
    </sheetView>
  </sheetViews>
  <sheetFormatPr defaultColWidth="12.5703125" defaultRowHeight="15" customHeight="1" x14ac:dyDescent="0.2"/>
  <cols>
    <col min="1" max="1" width="12.5703125" customWidth="1"/>
    <col min="2" max="2" width="16" customWidth="1"/>
    <col min="3" max="3" width="14.42578125" customWidth="1"/>
    <col min="4" max="4" width="10.5703125" customWidth="1"/>
    <col min="5" max="5" width="10.7109375" customWidth="1"/>
    <col min="6" max="6" width="31.85546875" customWidth="1"/>
    <col min="7" max="7" width="15.42578125" customWidth="1"/>
    <col min="8" max="8" width="24.85546875" customWidth="1"/>
    <col min="9" max="9" width="18.7109375" customWidth="1"/>
    <col min="10" max="10" width="29.85546875" customWidth="1"/>
    <col min="11" max="11" width="39.28515625" customWidth="1"/>
    <col min="12" max="12" width="38.85546875" bestFit="1" customWidth="1"/>
    <col min="13" max="13" width="21.28515625" style="31" customWidth="1"/>
    <col min="14" max="14" width="20.28515625" customWidth="1"/>
  </cols>
  <sheetData>
    <row r="1" spans="1:16" ht="15.75" customHeight="1" x14ac:dyDescent="0.2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5" t="s">
        <v>24</v>
      </c>
      <c r="G1" s="23" t="s">
        <v>116</v>
      </c>
      <c r="H1" s="23" t="s">
        <v>117</v>
      </c>
      <c r="I1" s="23" t="s">
        <v>118</v>
      </c>
      <c r="J1" s="23" t="s">
        <v>119</v>
      </c>
      <c r="K1" s="23" t="s">
        <v>120</v>
      </c>
      <c r="L1" s="23" t="s">
        <v>121</v>
      </c>
      <c r="M1" s="29" t="s">
        <v>122</v>
      </c>
      <c r="N1" s="23" t="s">
        <v>123</v>
      </c>
    </row>
    <row r="2" spans="1:16" ht="15.75" customHeight="1" x14ac:dyDescent="0.2">
      <c r="A2" s="16" t="s">
        <v>25</v>
      </c>
      <c r="B2" s="17" t="s">
        <v>26</v>
      </c>
      <c r="C2" s="17" t="s">
        <v>27</v>
      </c>
      <c r="D2" s="17">
        <v>1000</v>
      </c>
      <c r="E2" s="17">
        <v>30</v>
      </c>
      <c r="F2" s="18" t="s">
        <v>28</v>
      </c>
      <c r="G2" s="25">
        <f>IF(D2="",MEDIAN($D$2:$D$32),D2)</f>
        <v>1000</v>
      </c>
      <c r="H2" s="19" t="str">
        <f>IF(F2="","Electronics",F2)</f>
        <v>Electronics</v>
      </c>
      <c r="I2" s="24" t="str">
        <f>PROPER(B2)</f>
        <v>Laptop</v>
      </c>
      <c r="J2" s="24" t="str" cm="1">
        <f t="array" ref="J2">IF(F2="",_xlfn.SWITCH($B$2,"Laptop","Electronics","smartphone","Electronics","Tablet","Electronics","Headphones","Electronics","Blender","Kitchen","Coffee Maker","Kitchen","Sneakers","Fashion","T-shirt","Fashion",""),_xlfn.SWITCH(F2,"Electroni","Electronics","Electronics","Electronics","Fashion","Fashion","Kitchen","Kitchen","Outdoor","Outdoor","Accessories","Accessories"))</f>
        <v>Electronics</v>
      </c>
      <c r="K2" s="24" t="str">
        <f>PROPER(J2)</f>
        <v>Electronics</v>
      </c>
      <c r="L2" s="27" t="str">
        <f t="shared" ref="L2:L32" si="0">PROPER(CONCATENATE(B2,"-",C2))</f>
        <v>Laptop-Dell</v>
      </c>
      <c r="M2" s="30">
        <f t="shared" ref="M2:M32" si="1">DATE(2025, MONTH(DATEVALUE(MID(A2,4,3)&amp;" 1")), LEFT(A2,2))</f>
        <v>45685</v>
      </c>
      <c r="N2" s="27" t="str">
        <f t="shared" ref="N2:N32" si="2">RIGHT(A2,2)</f>
        <v>US</v>
      </c>
    </row>
    <row r="3" spans="1:16" ht="15.75" customHeight="1" x14ac:dyDescent="0.2">
      <c r="A3" s="20" t="s">
        <v>29</v>
      </c>
      <c r="B3" s="21" t="s">
        <v>30</v>
      </c>
      <c r="C3" s="21" t="s">
        <v>31</v>
      </c>
      <c r="D3" s="21">
        <v>80</v>
      </c>
      <c r="E3" s="21">
        <v>15</v>
      </c>
      <c r="F3" s="22" t="s">
        <v>32</v>
      </c>
      <c r="G3" s="26">
        <f>IF(D3="",MEDIAN($D$2:$D$32),D3)</f>
        <v>80</v>
      </c>
      <c r="H3" s="19" t="str">
        <f>IF(F3="","Electronics",F3)</f>
        <v>Fashion</v>
      </c>
      <c r="I3" s="24" t="str">
        <f>PROPER(B3)</f>
        <v>Sneakers</v>
      </c>
      <c r="J3" s="24" t="str" cm="1">
        <f t="array" ref="J3">IF(F3="",_xlfn.SWITCH($B$2,"Laptop","Electronics","smartphone","Electronics","Tablet","Electronics","Headphones","Electronics","Blender","Kitchen","Coffee Maker","Kitchen","Sneakers","Fashion","T-shirt","Fashion",""),_xlfn.SWITCH(F3,"Electroni","Electronics","Electronics","Electronics","Fashion","Fashion","Kitchen","Kitchen","Outdoor","Outdoor","Accessories","Accessories"))</f>
        <v>Fashion</v>
      </c>
      <c r="K3" s="24" t="str">
        <f>PROPER(J3)</f>
        <v>Fashion</v>
      </c>
      <c r="L3" s="27" t="str">
        <f t="shared" si="0"/>
        <v>Sneakers-Nike</v>
      </c>
      <c r="M3" s="30">
        <f t="shared" si="1"/>
        <v>45703</v>
      </c>
      <c r="N3" s="27" t="str">
        <f t="shared" si="2"/>
        <v>US</v>
      </c>
      <c r="O3" s="6"/>
      <c r="P3" s="6"/>
    </row>
    <row r="4" spans="1:16" ht="15.75" customHeight="1" x14ac:dyDescent="0.2">
      <c r="A4" s="16" t="s">
        <v>33</v>
      </c>
      <c r="B4" s="17" t="s">
        <v>34</v>
      </c>
      <c r="C4" s="17" t="s">
        <v>35</v>
      </c>
      <c r="D4" s="17">
        <v>130</v>
      </c>
      <c r="E4" s="17">
        <v>40</v>
      </c>
      <c r="F4" s="18" t="s">
        <v>36</v>
      </c>
      <c r="G4" s="26">
        <f>IF(D4="",MEDIAN($D$2:$D$32),D4)</f>
        <v>130</v>
      </c>
      <c r="H4" s="19" t="str">
        <f>IF(F4="","Electronics",F4)</f>
        <v>Kitchen</v>
      </c>
      <c r="I4" s="24" t="str">
        <f>PROPER(B4)</f>
        <v>Coffee Maker</v>
      </c>
      <c r="J4" s="24" t="str" cm="1">
        <f t="array" ref="J4">IF(F4="",_xlfn.SWITCH($B$2,"Laptop","Electronics","smartphone","Electronics","Tablet","Electronics","Headphones","Electronics","Blender","Kitchen","Coffee Maker","Kitchen","Sneakers","Fashion","T-shirt","Fashion",""),_xlfn.SWITCH(F4,"Electroni","Electronics","Electronics","Electronics","Fashion","Fashion","Kitchen","Kitchen","Outdoor","Outdoor","Accessories","Accessories"))</f>
        <v>Kitchen</v>
      </c>
      <c r="K4" s="24" t="str">
        <f>PROPER(J4)</f>
        <v>Kitchen</v>
      </c>
      <c r="L4" s="27" t="str">
        <f t="shared" si="0"/>
        <v>Coffee Maker-Keurig</v>
      </c>
      <c r="M4" s="30">
        <f t="shared" si="1"/>
        <v>45719</v>
      </c>
      <c r="N4" s="27" t="str">
        <f t="shared" si="2"/>
        <v>US</v>
      </c>
      <c r="O4" s="6"/>
      <c r="P4" s="6"/>
    </row>
    <row r="5" spans="1:16" ht="15.75" customHeight="1" x14ac:dyDescent="0.2">
      <c r="A5" s="20" t="s">
        <v>37</v>
      </c>
      <c r="B5" s="21" t="s">
        <v>38</v>
      </c>
      <c r="C5" s="21" t="s">
        <v>39</v>
      </c>
      <c r="D5" s="21">
        <v>900</v>
      </c>
      <c r="E5" s="21">
        <v>25</v>
      </c>
      <c r="F5" s="22" t="s">
        <v>28</v>
      </c>
      <c r="G5" s="26">
        <f>IF(D5="",MEDIAN($D$2:$D$32),D5)</f>
        <v>900</v>
      </c>
      <c r="H5" s="19" t="str">
        <f>IF(F5="","Electronics",F5)</f>
        <v>Electronics</v>
      </c>
      <c r="I5" s="24" t="str">
        <f>PROPER(B5)</f>
        <v>Smartphone</v>
      </c>
      <c r="J5" s="24" t="str" cm="1">
        <f t="array" ref="J5">IF(F5="",_xlfn.SWITCH($B$2,"Laptop","Electronics","smartphone","Electronics","Tablet","Electronics","Headphones","Electronics","Blender","Kitchen","Coffee Maker","Kitchen","Sneakers","Fashion","T-shirt","Fashion",""),_xlfn.SWITCH(F5,"Electroni","Electronics","Electronics","Electronics","Fashion","Fashion","Kitchen","Kitchen","Outdoor","Outdoor","Accessories","Accessories"))</f>
        <v>Electronics</v>
      </c>
      <c r="K5" s="24" t="str">
        <f>PROPER(J5)</f>
        <v>Electronics</v>
      </c>
      <c r="L5" s="27" t="str">
        <f t="shared" si="0"/>
        <v>Smartphone-Samsung</v>
      </c>
      <c r="M5" s="30">
        <f t="shared" si="1"/>
        <v>45758</v>
      </c>
      <c r="N5" s="27" t="str">
        <f t="shared" si="2"/>
        <v>US</v>
      </c>
      <c r="O5" s="6"/>
      <c r="P5" s="6"/>
    </row>
    <row r="6" spans="1:16" ht="15.75" customHeight="1" x14ac:dyDescent="0.2">
      <c r="A6" s="16" t="s">
        <v>40</v>
      </c>
      <c r="B6" s="17" t="s">
        <v>41</v>
      </c>
      <c r="C6" s="17" t="s">
        <v>42</v>
      </c>
      <c r="D6" s="17">
        <v>70</v>
      </c>
      <c r="E6" s="17">
        <v>20</v>
      </c>
      <c r="F6" s="18"/>
      <c r="G6" s="26">
        <f>IF(D6="",MEDIAN($D$2:$D$32),D6)</f>
        <v>70</v>
      </c>
      <c r="H6" s="19" t="str">
        <f>IF(F6="","Electronics",F6)</f>
        <v>Electronics</v>
      </c>
      <c r="I6" s="24" t="str">
        <f>PROPER(B6)</f>
        <v>Backpack</v>
      </c>
      <c r="J6" s="24" t="str" cm="1">
        <f t="array" ref="J6">IF(F6="",_xlfn.SWITCH($B$2,"Laptop","Electronics","smartphone","Electronics","Tablet","Electronics","Headphones","Electronics","Blender","Kitchen","Coffee Maker","Kitchen","Sneakers","Fashion","T-shirt","Fashion",""),_xlfn.SWITCH(F6,"Electroni","Electronics","Electronics","Electronics","Fashion","Fashion","Kitchen","Kitchen","Outdoor","Outdoor","Accessories","Accessories"))</f>
        <v>Electronics</v>
      </c>
      <c r="K6" s="24" t="str">
        <f>PROPER(J6)</f>
        <v>Electronics</v>
      </c>
      <c r="L6" s="27" t="str">
        <f t="shared" si="0"/>
        <v>Backpack-North Face</v>
      </c>
      <c r="M6" s="30">
        <f t="shared" si="1"/>
        <v>45799</v>
      </c>
      <c r="N6" s="27" t="str">
        <f t="shared" si="2"/>
        <v>US</v>
      </c>
    </row>
    <row r="7" spans="1:16" ht="15.75" customHeight="1" x14ac:dyDescent="0.2">
      <c r="A7" s="20" t="s">
        <v>43</v>
      </c>
      <c r="B7" s="21" t="s">
        <v>44</v>
      </c>
      <c r="C7" s="21" t="s">
        <v>45</v>
      </c>
      <c r="D7" s="21"/>
      <c r="E7" s="21">
        <v>45</v>
      </c>
      <c r="F7" s="22" t="s">
        <v>46</v>
      </c>
      <c r="G7" s="26">
        <f>IF(D7="",MEDIAN($D$2:$D$32),D7)</f>
        <v>130</v>
      </c>
      <c r="H7" s="19" t="str">
        <f>IF(F7="","Electronics",F7)</f>
        <v>Electroni</v>
      </c>
      <c r="I7" s="24" t="str">
        <f>PROPER(B7)</f>
        <v>Headphones</v>
      </c>
      <c r="J7" s="24" t="str" cm="1">
        <f t="array" ref="J7">IF(F7="",_xlfn.SWITCH($B$2,"Laptop","Electronics","smartphone","Electronics","Tablet","Electronics","Headphones","Electronics","Blender","Kitchen","Coffee Maker","Kitchen","Sneakers","Fashion","T-shirt","Fashion",""),_xlfn.SWITCH(F7,"Electroni","Electronics","Electronics","Electronics","Fashion","Fashion","Kitchen","Kitchen","Outdoor","Outdoor","Accessories","Accessories"))</f>
        <v>Electronics</v>
      </c>
      <c r="K7" s="24" t="str">
        <f>PROPER(J7)</f>
        <v>Electronics</v>
      </c>
      <c r="L7" s="27" t="str">
        <f t="shared" si="0"/>
        <v>Headphones-Sony</v>
      </c>
      <c r="M7" s="30">
        <f t="shared" si="1"/>
        <v>45815</v>
      </c>
      <c r="N7" s="27" t="str">
        <f t="shared" si="2"/>
        <v>UK</v>
      </c>
    </row>
    <row r="8" spans="1:16" ht="15.75" customHeight="1" x14ac:dyDescent="0.2">
      <c r="A8" s="16" t="s">
        <v>47</v>
      </c>
      <c r="B8" s="17" t="s">
        <v>48</v>
      </c>
      <c r="C8" s="17" t="s">
        <v>49</v>
      </c>
      <c r="D8" s="17">
        <v>30</v>
      </c>
      <c r="E8" s="17">
        <v>5</v>
      </c>
      <c r="F8" s="18" t="s">
        <v>32</v>
      </c>
      <c r="G8" s="26">
        <f>IF(D8="",MEDIAN($D$2:$D$32),D8)</f>
        <v>30</v>
      </c>
      <c r="H8" s="19" t="str">
        <f>IF(F8="","Electronics",F8)</f>
        <v>Fashion</v>
      </c>
      <c r="I8" s="24" t="str">
        <f>PROPER(B8)</f>
        <v>T-Shirt</v>
      </c>
      <c r="J8" s="24" t="str" cm="1">
        <f t="array" ref="J8">IF(F8="",_xlfn.SWITCH($B$2,"Laptop","Electronics","smartphone","Electronics","Tablet","Electronics","Headphones","Electronics","Blender","Kitchen","Coffee Maker","Kitchen","Sneakers","Fashion","T-shirt","Fashion",""),_xlfn.SWITCH(F8,"Electroni","Electronics","Electronics","Electronics","Fashion","Fashion","Kitchen","Kitchen","Outdoor","Outdoor","Accessories","Accessories"))</f>
        <v>Fashion</v>
      </c>
      <c r="K8" s="24" t="str">
        <f>PROPER(J8)</f>
        <v>Fashion</v>
      </c>
      <c r="L8" s="27" t="str">
        <f t="shared" si="0"/>
        <v>T-Shirt-Adidas</v>
      </c>
      <c r="M8" s="30">
        <f t="shared" si="1"/>
        <v>45857</v>
      </c>
      <c r="N8" s="27" t="str">
        <f t="shared" si="2"/>
        <v>UK</v>
      </c>
    </row>
    <row r="9" spans="1:16" ht="15.75" customHeight="1" x14ac:dyDescent="0.2">
      <c r="A9" s="20" t="s">
        <v>50</v>
      </c>
      <c r="B9" s="21" t="s">
        <v>51</v>
      </c>
      <c r="C9" s="21" t="s">
        <v>52</v>
      </c>
      <c r="D9" s="21">
        <v>90</v>
      </c>
      <c r="E9" s="21">
        <v>35</v>
      </c>
      <c r="F9" s="22" t="s">
        <v>36</v>
      </c>
      <c r="G9" s="26">
        <f>IF(D9="",MEDIAN($D$2:$D$32),D9)</f>
        <v>90</v>
      </c>
      <c r="H9" s="19" t="str">
        <f>IF(F9="","Electronics",F9)</f>
        <v>Kitchen</v>
      </c>
      <c r="I9" s="24" t="str">
        <f>PROPER(B9)</f>
        <v>Blender</v>
      </c>
      <c r="J9" s="24" t="str" cm="1">
        <f t="array" ref="J9">IF(F9="",_xlfn.SWITCH($B$2,"Laptop","Electronics","smartphone","Electronics","Tablet","Electronics","Headphones","Electronics","Blender","Kitchen","Coffee Maker","Kitchen","Sneakers","Fashion","T-shirt","Fashion",""),_xlfn.SWITCH(F9,"Electroni","Electronics","Electronics","Electronics","Fashion","Fashion","Kitchen","Kitchen","Outdoor","Outdoor","Accessories","Accessories"))</f>
        <v>Kitchen</v>
      </c>
      <c r="K9" s="24" t="str">
        <f>PROPER(J9)</f>
        <v>Kitchen</v>
      </c>
      <c r="L9" s="27" t="str">
        <f t="shared" si="0"/>
        <v>Blender-Ninja</v>
      </c>
      <c r="M9" s="30">
        <f t="shared" si="1"/>
        <v>45892</v>
      </c>
      <c r="N9" s="27" t="str">
        <f t="shared" si="2"/>
        <v>UK</v>
      </c>
    </row>
    <row r="10" spans="1:16" ht="15.75" customHeight="1" x14ac:dyDescent="0.2">
      <c r="A10" s="16" t="s">
        <v>53</v>
      </c>
      <c r="B10" s="17" t="s">
        <v>54</v>
      </c>
      <c r="C10" s="17" t="s">
        <v>55</v>
      </c>
      <c r="D10" s="17">
        <v>500</v>
      </c>
      <c r="E10" s="17">
        <v>50</v>
      </c>
      <c r="F10" s="18" t="s">
        <v>28</v>
      </c>
      <c r="G10" s="26">
        <f>IF(D10="",MEDIAN($D$2:$D$32),D10)</f>
        <v>500</v>
      </c>
      <c r="H10" s="19" t="str">
        <f>IF(F10="","Electronics",F10)</f>
        <v>Electronics</v>
      </c>
      <c r="I10" s="24" t="str">
        <f>PROPER(B10)</f>
        <v>Tablet</v>
      </c>
      <c r="J10" s="24" t="str" cm="1">
        <f t="array" ref="J10">IF(F10="",_xlfn.SWITCH($B$2,"Laptop","Electronics","smartphone","Electronics","Tablet","Electronics","Headphones","Electronics","Blender","Kitchen","Coffee Maker","Kitchen","Sneakers","Fashion","T-shirt","Fashion",""),_xlfn.SWITCH(F10,"Electroni","Electronics","Electronics","Electronics","Fashion","Fashion","Kitchen","Kitchen","Outdoor","Outdoor","Accessories","Accessories"))</f>
        <v>Electronics</v>
      </c>
      <c r="K10" s="24" t="str">
        <f>PROPER(J10)</f>
        <v>Electronics</v>
      </c>
      <c r="L10" s="27" t="str">
        <f t="shared" si="0"/>
        <v>Tablet-Apple</v>
      </c>
      <c r="M10" s="30">
        <f t="shared" si="1"/>
        <v>45905</v>
      </c>
      <c r="N10" s="27" t="str">
        <f t="shared" si="2"/>
        <v>UK</v>
      </c>
    </row>
    <row r="11" spans="1:16" ht="15.75" customHeight="1" x14ac:dyDescent="0.2">
      <c r="A11" s="20" t="s">
        <v>56</v>
      </c>
      <c r="B11" s="21" t="s">
        <v>57</v>
      </c>
      <c r="C11" s="21" t="s">
        <v>58</v>
      </c>
      <c r="D11" s="21">
        <v>130</v>
      </c>
      <c r="E11" s="21">
        <v>10</v>
      </c>
      <c r="F11" s="22" t="s">
        <v>59</v>
      </c>
      <c r="G11" s="26">
        <f>IF(D11="",MEDIAN($D$2:$D$32),D11)</f>
        <v>130</v>
      </c>
      <c r="H11" s="19" t="str">
        <f>IF(F11="","Electronics",F11)</f>
        <v>Outdoor</v>
      </c>
      <c r="I11" s="24" t="str">
        <f>PROPER(B11)</f>
        <v>Hiking Boots</v>
      </c>
      <c r="J11" s="24" t="str" cm="1">
        <f t="array" ref="J11">IF(F11="",_xlfn.SWITCH($B$2,"Laptop","Electronics","smartphone","Electronics","Tablet","Electronics","Headphones","Electronics","Blender","Kitchen","Coffee Maker","Kitchen","Sneakers","Fashion","T-shirt","Fashion",""),_xlfn.SWITCH(F11,"Electroni","Electronics","Electronics","Electronics","Fashion","Fashion","Kitchen","Kitchen","Outdoor","Outdoor","Accessories","Accessories"))</f>
        <v>Outdoor</v>
      </c>
      <c r="K11" s="24" t="str">
        <f>PROPER(J11)</f>
        <v>Outdoor</v>
      </c>
      <c r="L11" s="27" t="str">
        <f t="shared" si="0"/>
        <v>Hiking Boots-Timberland</v>
      </c>
      <c r="M11" s="30">
        <f t="shared" si="1"/>
        <v>45944</v>
      </c>
      <c r="N11" s="27" t="str">
        <f t="shared" si="2"/>
        <v>UK</v>
      </c>
    </row>
    <row r="12" spans="1:16" ht="15.75" customHeight="1" x14ac:dyDescent="0.2">
      <c r="A12" s="16" t="s">
        <v>60</v>
      </c>
      <c r="B12" s="17" t="s">
        <v>61</v>
      </c>
      <c r="C12" s="17" t="s">
        <v>62</v>
      </c>
      <c r="D12" s="17">
        <v>950</v>
      </c>
      <c r="E12" s="17">
        <v>25</v>
      </c>
      <c r="F12" s="18" t="s">
        <v>28</v>
      </c>
      <c r="G12" s="26">
        <f>IF(D12="",MEDIAN($D$2:$D$32),D12)</f>
        <v>950</v>
      </c>
      <c r="H12" s="19" t="str">
        <f>IF(F12="","Electronics",F12)</f>
        <v>Electronics</v>
      </c>
      <c r="I12" s="24" t="str">
        <f>PROPER(B12)</f>
        <v>Laptop</v>
      </c>
      <c r="J12" s="24" t="str" cm="1">
        <f t="array" ref="J12">IF(F12="",_xlfn.SWITCH($B$2,"Laptop","Electronics","smartphone","Electronics","Tablet","Electronics","Headphones","Electronics","Blender","Kitchen","Coffee Maker","Kitchen","Sneakers","Fashion","T-shirt","Fashion",""),_xlfn.SWITCH(F12,"Electroni","Electronics","Electronics","Electronics","Fashion","Fashion","Kitchen","Kitchen","Outdoor","Outdoor","Accessories","Accessories"))</f>
        <v>Electronics</v>
      </c>
      <c r="K12" s="24" t="str">
        <f>PROPER(J12)</f>
        <v>Electronics</v>
      </c>
      <c r="L12" s="27" t="str">
        <f t="shared" si="0"/>
        <v>Laptop-Hp</v>
      </c>
      <c r="M12" s="30">
        <f t="shared" si="1"/>
        <v>45825</v>
      </c>
      <c r="N12" s="27" t="str">
        <f t="shared" si="2"/>
        <v>IN</v>
      </c>
    </row>
    <row r="13" spans="1:16" ht="15.75" customHeight="1" x14ac:dyDescent="0.2">
      <c r="A13" s="20" t="s">
        <v>63</v>
      </c>
      <c r="B13" s="21" t="s">
        <v>30</v>
      </c>
      <c r="C13" s="21" t="s">
        <v>49</v>
      </c>
      <c r="D13" s="21">
        <v>90</v>
      </c>
      <c r="E13" s="21">
        <v>40</v>
      </c>
      <c r="F13" s="22"/>
      <c r="G13" s="26">
        <f>IF(D13="",MEDIAN($D$2:$D$32),D13)</f>
        <v>90</v>
      </c>
      <c r="H13" s="19" t="str">
        <f>IF(F13="","Electronics",F13)</f>
        <v>Electronics</v>
      </c>
      <c r="I13" s="24" t="str">
        <f>PROPER(B13)</f>
        <v>Sneakers</v>
      </c>
      <c r="J13" s="24" t="str" cm="1">
        <f t="array" ref="J13">IF(F13="",_xlfn.SWITCH($B$2,"Laptop","Electronics","smartphone","Electronics","Tablet","Electronics","Headphones","Electronics","Blender","Kitchen","Coffee Maker","Kitchen","Sneakers","Fashion","T-shirt","Fashion",""),_xlfn.SWITCH(F13,"Electroni","Electronics","Electronics","Electronics","Fashion","Fashion","Kitchen","Kitchen","Outdoor","Outdoor","Accessories","Accessories"))</f>
        <v>Electronics</v>
      </c>
      <c r="K13" s="24" t="str">
        <f>PROPER(J13)</f>
        <v>Electronics</v>
      </c>
      <c r="L13" s="27" t="str">
        <f t="shared" si="0"/>
        <v>Sneakers-Adidas</v>
      </c>
      <c r="M13" s="30">
        <f t="shared" si="1"/>
        <v>45986</v>
      </c>
      <c r="N13" s="27" t="str">
        <f t="shared" si="2"/>
        <v>AU</v>
      </c>
    </row>
    <row r="14" spans="1:16" ht="15.75" customHeight="1" x14ac:dyDescent="0.2">
      <c r="A14" s="16" t="s">
        <v>64</v>
      </c>
      <c r="B14" s="17" t="s">
        <v>34</v>
      </c>
      <c r="C14" s="17" t="s">
        <v>65</v>
      </c>
      <c r="D14" s="17">
        <v>120</v>
      </c>
      <c r="E14" s="17">
        <v>35</v>
      </c>
      <c r="F14" s="18"/>
      <c r="G14" s="26">
        <f>IF(D14="",MEDIAN($D$2:$D$32),D14)</f>
        <v>120</v>
      </c>
      <c r="H14" s="19" t="str">
        <f>IF(F14="","Electronics",F14)</f>
        <v>Electronics</v>
      </c>
      <c r="I14" s="24" t="str">
        <f>PROPER(B14)</f>
        <v>Coffee Maker</v>
      </c>
      <c r="J14" s="24" t="str" cm="1">
        <f t="array" ref="J14">IF(F14="",_xlfn.SWITCH($B$2,"Laptop","Electronics","smartphone","Electronics","Tablet","Electronics","Headphones","Electronics","Blender","Kitchen","Coffee Maker","Kitchen","Sneakers","Fashion","T-shirt","Fashion",""),_xlfn.SWITCH(F14,"Electroni","Electronics","Electronics","Electronics","Fashion","Fashion","Kitchen","Kitchen","Outdoor","Outdoor","Accessories","Accessories"))</f>
        <v>Electronics</v>
      </c>
      <c r="K14" s="24" t="str">
        <f>PROPER(J14)</f>
        <v>Electronics</v>
      </c>
      <c r="L14" s="27" t="str">
        <f t="shared" si="0"/>
        <v>Coffee Maker-Nespresso</v>
      </c>
      <c r="M14" s="30">
        <f t="shared" si="1"/>
        <v>45999</v>
      </c>
      <c r="N14" s="27" t="str">
        <f t="shared" si="2"/>
        <v>DE</v>
      </c>
    </row>
    <row r="15" spans="1:16" ht="15.75" customHeight="1" x14ac:dyDescent="0.2">
      <c r="A15" s="20" t="s">
        <v>66</v>
      </c>
      <c r="B15" s="21" t="s">
        <v>67</v>
      </c>
      <c r="C15" s="21" t="s">
        <v>68</v>
      </c>
      <c r="D15" s="21">
        <v>150</v>
      </c>
      <c r="E15" s="21">
        <v>15</v>
      </c>
      <c r="F15" s="22" t="s">
        <v>46</v>
      </c>
      <c r="G15" s="26">
        <f>IF(D15="",MEDIAN($D$2:$D$32),D15)</f>
        <v>150</v>
      </c>
      <c r="H15" s="19" t="str">
        <f>IF(F15="","Electronics",F15)</f>
        <v>Electroni</v>
      </c>
      <c r="I15" s="24" t="str">
        <f>PROPER(B15)</f>
        <v>Smartwatch</v>
      </c>
      <c r="J15" s="24" t="str" cm="1">
        <f t="array" ref="J15">IF(F15="",_xlfn.SWITCH($B$2,"Laptop","Electronics","smartphone","Electronics","Tablet","Electronics","Headphones","Electronics","Blender","Kitchen","Coffee Maker","Kitchen","Sneakers","Fashion","T-shirt","Fashion",""),_xlfn.SWITCH(F15,"Electroni","Electronics","Electronics","Electronics","Fashion","Fashion","Kitchen","Kitchen","Outdoor","Outdoor","Accessories","Accessories"))</f>
        <v>Electronics</v>
      </c>
      <c r="K15" s="24" t="str">
        <f>PROPER(J15)</f>
        <v>Electronics</v>
      </c>
      <c r="L15" s="27" t="str">
        <f t="shared" si="0"/>
        <v>Smartwatch-Fitbit</v>
      </c>
      <c r="M15" s="30">
        <f t="shared" si="1"/>
        <v>45706</v>
      </c>
      <c r="N15" s="27" t="str">
        <f t="shared" si="2"/>
        <v>CA</v>
      </c>
    </row>
    <row r="16" spans="1:16" ht="15.75" customHeight="1" x14ac:dyDescent="0.2">
      <c r="A16" s="16" t="s">
        <v>69</v>
      </c>
      <c r="B16" s="17" t="s">
        <v>70</v>
      </c>
      <c r="C16" s="17" t="s">
        <v>71</v>
      </c>
      <c r="D16" s="17">
        <v>250</v>
      </c>
      <c r="E16" s="17">
        <v>20</v>
      </c>
      <c r="F16" s="18" t="s">
        <v>46</v>
      </c>
      <c r="G16" s="26">
        <f>IF(D16="",MEDIAN($D$2:$D$32),D16)</f>
        <v>250</v>
      </c>
      <c r="H16" s="19" t="str">
        <f>IF(F16="","Electronics",F16)</f>
        <v>Electroni</v>
      </c>
      <c r="I16" s="24" t="str">
        <f>PROPER(B16)</f>
        <v>Headphones</v>
      </c>
      <c r="J16" s="24" t="str" cm="1">
        <f t="array" ref="J16">IF(F16="",_xlfn.SWITCH($B$2,"Laptop","Electronics","smartphone","Electronics","Tablet","Electronics","Headphones","Electronics","Blender","Kitchen","Coffee Maker","Kitchen","Sneakers","Fashion","T-shirt","Fashion",""),_xlfn.SWITCH(F16,"Electroni","Electronics","Electronics","Electronics","Fashion","Fashion","Kitchen","Kitchen","Outdoor","Outdoor","Accessories","Accessories"))</f>
        <v>Electronics</v>
      </c>
      <c r="K16" s="24" t="str">
        <f>PROPER(J16)</f>
        <v>Electronics</v>
      </c>
      <c r="L16" s="27" t="str">
        <f t="shared" si="0"/>
        <v>Headphones-Bose</v>
      </c>
      <c r="M16" s="30">
        <f t="shared" si="1"/>
        <v>45763</v>
      </c>
      <c r="N16" s="27" t="str">
        <f t="shared" si="2"/>
        <v>ES</v>
      </c>
    </row>
    <row r="17" spans="1:14" ht="15.75" customHeight="1" x14ac:dyDescent="0.2">
      <c r="A17" s="20" t="s">
        <v>72</v>
      </c>
      <c r="B17" s="21" t="s">
        <v>73</v>
      </c>
      <c r="C17" s="21" t="s">
        <v>74</v>
      </c>
      <c r="D17" s="21">
        <v>50</v>
      </c>
      <c r="E17" s="21">
        <v>35</v>
      </c>
      <c r="F17" s="22" t="s">
        <v>75</v>
      </c>
      <c r="G17" s="26">
        <f>IF(D17="",MEDIAN($D$2:$D$32),D17)</f>
        <v>50</v>
      </c>
      <c r="H17" s="19" t="str">
        <f>IF(F17="","Electronics",F17)</f>
        <v>Accessories</v>
      </c>
      <c r="I17" s="24" t="str">
        <f>PROPER(B17)</f>
        <v>Laptop Bag</v>
      </c>
      <c r="J17" s="24" t="str" cm="1">
        <f t="array" ref="J17">IF(F17="",_xlfn.SWITCH($B$2,"Laptop","Electronics","smartphone","Electronics","Tablet","Electronics","Headphones","Electronics","Blender","Kitchen","Coffee Maker","Kitchen","Sneakers","Fashion","T-shirt","Fashion",""),_xlfn.SWITCH(F17,"Electroni","Electronics","Electronics","Electronics","Fashion","Fashion","Kitchen","Kitchen","Outdoor","Outdoor","Accessories","Accessories"))</f>
        <v>Accessories</v>
      </c>
      <c r="K17" s="24" t="str">
        <f>PROPER(J17)</f>
        <v>Accessories</v>
      </c>
      <c r="L17" s="27" t="str">
        <f t="shared" si="0"/>
        <v>Laptop Bag-Samsonite</v>
      </c>
      <c r="M17" s="30">
        <f t="shared" si="1"/>
        <v>45890</v>
      </c>
      <c r="N17" s="27" t="str">
        <f t="shared" si="2"/>
        <v>CA</v>
      </c>
    </row>
    <row r="18" spans="1:14" ht="15.75" customHeight="1" x14ac:dyDescent="0.2">
      <c r="A18" s="16" t="s">
        <v>76</v>
      </c>
      <c r="B18" s="17" t="s">
        <v>67</v>
      </c>
      <c r="C18" s="17" t="s">
        <v>77</v>
      </c>
      <c r="D18" s="17">
        <v>160</v>
      </c>
      <c r="E18" s="17">
        <v>15</v>
      </c>
      <c r="F18" s="18" t="s">
        <v>46</v>
      </c>
      <c r="G18" s="26">
        <f>IF(D18="",MEDIAN($D$2:$D$32),D18)</f>
        <v>160</v>
      </c>
      <c r="H18" s="19" t="str">
        <f>IF(F18="","Electronics",F18)</f>
        <v>Electroni</v>
      </c>
      <c r="I18" s="24" t="str">
        <f>PROPER(B18)</f>
        <v>Smartwatch</v>
      </c>
      <c r="J18" s="24" t="str" cm="1">
        <f t="array" ref="J18">IF(F18="",_xlfn.SWITCH($B$2,"Laptop","Electronics","smartphone","Electronics","Tablet","Electronics","Headphones","Electronics","Blender","Kitchen","Coffee Maker","Kitchen","Sneakers","Fashion","T-shirt","Fashion",""),_xlfn.SWITCH(F18,"Electroni","Electronics","Electronics","Electronics","Fashion","Fashion","Kitchen","Kitchen","Outdoor","Outdoor","Accessories","Accessories"))</f>
        <v>Electronics</v>
      </c>
      <c r="K18" s="24" t="str">
        <f>PROPER(J18)</f>
        <v>Electronics</v>
      </c>
      <c r="L18" s="27" t="str">
        <f t="shared" si="0"/>
        <v>Smartwatch-Huawei</v>
      </c>
      <c r="M18" s="30">
        <f t="shared" si="1"/>
        <v>45889</v>
      </c>
      <c r="N18" s="27" t="str">
        <f t="shared" si="2"/>
        <v>CN</v>
      </c>
    </row>
    <row r="19" spans="1:14" ht="15.75" customHeight="1" x14ac:dyDescent="0.2">
      <c r="A19" s="20" t="s">
        <v>78</v>
      </c>
      <c r="B19" s="21" t="s">
        <v>26</v>
      </c>
      <c r="C19" s="21" t="s">
        <v>79</v>
      </c>
      <c r="D19" s="21">
        <v>980</v>
      </c>
      <c r="E19" s="21">
        <v>10</v>
      </c>
      <c r="F19" s="22" t="s">
        <v>28</v>
      </c>
      <c r="G19" s="26">
        <f>IF(D19="",MEDIAN($D$2:$D$32),D19)</f>
        <v>980</v>
      </c>
      <c r="H19" s="19" t="str">
        <f>IF(F19="","Electronics",F19)</f>
        <v>Electronics</v>
      </c>
      <c r="I19" s="24" t="str">
        <f>PROPER(B19)</f>
        <v>Laptop</v>
      </c>
      <c r="J19" s="24" t="str" cm="1">
        <f t="array" ref="J19">IF(F19="",_xlfn.SWITCH($B$2,"Laptop","Electronics","smartphone","Electronics","Tablet","Electronics","Headphones","Electronics","Blender","Kitchen","Coffee Maker","Kitchen","Sneakers","Fashion","T-shirt","Fashion",""),_xlfn.SWITCH(F19,"Electroni","Electronics","Electronics","Electronics","Fashion","Fashion","Kitchen","Kitchen","Outdoor","Outdoor","Accessories","Accessories"))</f>
        <v>Electronics</v>
      </c>
      <c r="K19" s="24" t="str">
        <f>PROPER(J19)</f>
        <v>Electronics</v>
      </c>
      <c r="L19" s="27" t="str">
        <f t="shared" si="0"/>
        <v>Laptop-Asus</v>
      </c>
      <c r="M19" s="30">
        <f t="shared" si="1"/>
        <v>45684</v>
      </c>
      <c r="N19" s="27" t="str">
        <f t="shared" si="2"/>
        <v>IT</v>
      </c>
    </row>
    <row r="20" spans="1:14" ht="15.75" customHeight="1" x14ac:dyDescent="0.2">
      <c r="A20" s="16" t="s">
        <v>80</v>
      </c>
      <c r="B20" s="17" t="s">
        <v>81</v>
      </c>
      <c r="C20" s="17" t="s">
        <v>82</v>
      </c>
      <c r="D20" s="17">
        <v>150</v>
      </c>
      <c r="E20" s="17">
        <v>15</v>
      </c>
      <c r="F20" s="18" t="s">
        <v>32</v>
      </c>
      <c r="G20" s="26">
        <f>IF(D20="",MEDIAN($D$2:$D$32),D20)</f>
        <v>150</v>
      </c>
      <c r="H20" s="19" t="str">
        <f>IF(F20="","Electronics",F20)</f>
        <v>Fashion</v>
      </c>
      <c r="I20" s="24" t="str">
        <f>PROPER(B20)</f>
        <v>Sunglasses</v>
      </c>
      <c r="J20" s="24" t="str" cm="1">
        <f t="array" ref="J20">IF(F20="",_xlfn.SWITCH($B$2,"Laptop","Electronics","smartphone","Electronics","Tablet","Electronics","Headphones","Electronics","Blender","Kitchen","Coffee Maker","Kitchen","Sneakers","Fashion","T-shirt","Fashion",""),_xlfn.SWITCH(F20,"Electroni","Electronics","Electronics","Electronics","Fashion","Fashion","Kitchen","Kitchen","Outdoor","Outdoor","Accessories","Accessories"))</f>
        <v>Fashion</v>
      </c>
      <c r="K20" s="24" t="str">
        <f>PROPER(J20)</f>
        <v>Fashion</v>
      </c>
      <c r="L20" s="27" t="str">
        <f t="shared" si="0"/>
        <v>Sunglasses-Oakley</v>
      </c>
      <c r="M20" s="30">
        <f t="shared" si="1"/>
        <v>45717</v>
      </c>
      <c r="N20" s="27" t="str">
        <f t="shared" si="2"/>
        <v>UK</v>
      </c>
    </row>
    <row r="21" spans="1:14" ht="15.75" customHeight="1" x14ac:dyDescent="0.2">
      <c r="A21" s="20" t="s">
        <v>83</v>
      </c>
      <c r="B21" s="21" t="s">
        <v>84</v>
      </c>
      <c r="C21" s="21" t="s">
        <v>85</v>
      </c>
      <c r="D21" s="21"/>
      <c r="E21" s="21">
        <v>10</v>
      </c>
      <c r="F21" s="22" t="s">
        <v>59</v>
      </c>
      <c r="G21" s="26">
        <f>IF(D21="",MEDIAN($D$2:$D$32),D21)</f>
        <v>130</v>
      </c>
      <c r="H21" s="19" t="str">
        <f>IF(F21="","Electronics",F21)</f>
        <v>Outdoor</v>
      </c>
      <c r="I21" s="24" t="str">
        <f>PROPER(B21)</f>
        <v>Camping Tent</v>
      </c>
      <c r="J21" s="24" t="str" cm="1">
        <f t="array" ref="J21">IF(F21="",_xlfn.SWITCH($B$2,"Laptop","Electronics","smartphone","Electronics","Tablet","Electronics","Headphones","Electronics","Blender","Kitchen","Coffee Maker","Kitchen","Sneakers","Fashion","T-shirt","Fashion",""),_xlfn.SWITCH(F21,"Electroni","Electronics","Electronics","Electronics","Fashion","Fashion","Kitchen","Kitchen","Outdoor","Outdoor","Accessories","Accessories"))</f>
        <v>Outdoor</v>
      </c>
      <c r="K21" s="24" t="str">
        <f>PROPER(J21)</f>
        <v>Outdoor</v>
      </c>
      <c r="L21" s="27" t="str">
        <f t="shared" si="0"/>
        <v>Camping Tent-Coleman</v>
      </c>
      <c r="M21" s="30">
        <f t="shared" si="1"/>
        <v>45883</v>
      </c>
      <c r="N21" s="27" t="str">
        <f t="shared" si="2"/>
        <v>US</v>
      </c>
    </row>
    <row r="22" spans="1:14" ht="15.75" customHeight="1" x14ac:dyDescent="0.2">
      <c r="A22" s="16" t="s">
        <v>86</v>
      </c>
      <c r="B22" s="17" t="s">
        <v>87</v>
      </c>
      <c r="C22" s="17" t="s">
        <v>88</v>
      </c>
      <c r="D22" s="17">
        <v>700</v>
      </c>
      <c r="E22" s="17">
        <v>50</v>
      </c>
      <c r="F22" s="18" t="s">
        <v>28</v>
      </c>
      <c r="G22" s="26">
        <f>IF(D22="",MEDIAN($D$2:$D$32),D22)</f>
        <v>700</v>
      </c>
      <c r="H22" s="19" t="str">
        <f>IF(F22="","Electronics",F22)</f>
        <v>Electronics</v>
      </c>
      <c r="I22" s="24" t="str">
        <f>PROPER(B22)</f>
        <v>Camera</v>
      </c>
      <c r="J22" s="24" t="str" cm="1">
        <f t="array" ref="J22">IF(F22="",_xlfn.SWITCH($B$2,"Laptop","Electronics","smartphone","Electronics","Tablet","Electronics","Headphones","Electronics","Blender","Kitchen","Coffee Maker","Kitchen","Sneakers","Fashion","T-shirt","Fashion",""),_xlfn.SWITCH(F22,"Electroni","Electronics","Electronics","Electronics","Fashion","Fashion","Kitchen","Kitchen","Outdoor","Outdoor","Accessories","Accessories"))</f>
        <v>Electronics</v>
      </c>
      <c r="K22" s="24" t="str">
        <f>PROPER(J22)</f>
        <v>Electronics</v>
      </c>
      <c r="L22" s="27" t="str">
        <f t="shared" si="0"/>
        <v>Camera-Nikon</v>
      </c>
      <c r="M22" s="30">
        <f t="shared" si="1"/>
        <v>45791</v>
      </c>
      <c r="N22" s="27" t="str">
        <f t="shared" si="2"/>
        <v>RU</v>
      </c>
    </row>
    <row r="23" spans="1:14" ht="15.75" customHeight="1" x14ac:dyDescent="0.2">
      <c r="A23" s="20" t="s">
        <v>89</v>
      </c>
      <c r="B23" s="21" t="s">
        <v>90</v>
      </c>
      <c r="C23" s="21" t="s">
        <v>91</v>
      </c>
      <c r="D23" s="21">
        <v>80</v>
      </c>
      <c r="E23" s="21">
        <v>20</v>
      </c>
      <c r="F23" s="22" t="s">
        <v>36</v>
      </c>
      <c r="G23" s="26">
        <f>IF(D23="",MEDIAN($D$2:$D$32),D23)</f>
        <v>80</v>
      </c>
      <c r="H23" s="19" t="str">
        <f>IF(F23="","Electronics",F23)</f>
        <v>Kitchen</v>
      </c>
      <c r="I23" s="24" t="str">
        <f>PROPER(B23)</f>
        <v>Microwave</v>
      </c>
      <c r="J23" s="24" t="str" cm="1">
        <f t="array" ref="J23">IF(F23="",_xlfn.SWITCH($B$2,"Laptop","Electronics","smartphone","Electronics","Tablet","Electronics","Headphones","Electronics","Blender","Kitchen","Coffee Maker","Kitchen","Sneakers","Fashion","T-shirt","Fashion",""),_xlfn.SWITCH(F23,"Electroni","Electronics","Electronics","Electronics","Fashion","Fashion","Kitchen","Kitchen","Outdoor","Outdoor","Accessories","Accessories"))</f>
        <v>Kitchen</v>
      </c>
      <c r="K23" s="24" t="str">
        <f>PROPER(J23)</f>
        <v>Kitchen</v>
      </c>
      <c r="L23" s="27" t="str">
        <f t="shared" si="0"/>
        <v>Microwave-Panasonic</v>
      </c>
      <c r="M23" s="30">
        <f t="shared" si="1"/>
        <v>45666</v>
      </c>
      <c r="N23" s="27" t="str">
        <f t="shared" si="2"/>
        <v>CA</v>
      </c>
    </row>
    <row r="24" spans="1:14" ht="15.75" customHeight="1" x14ac:dyDescent="0.2">
      <c r="A24" s="16" t="s">
        <v>92</v>
      </c>
      <c r="B24" s="17" t="s">
        <v>93</v>
      </c>
      <c r="C24" s="17" t="s">
        <v>94</v>
      </c>
      <c r="D24" s="17">
        <v>150</v>
      </c>
      <c r="E24" s="17">
        <v>30</v>
      </c>
      <c r="F24" s="18"/>
      <c r="G24" s="26">
        <f>IF(D24="",MEDIAN($D$2:$D$32),D24)</f>
        <v>150</v>
      </c>
      <c r="H24" s="19" t="str">
        <f>IF(F24="","Electronics",F24)</f>
        <v>Electronics</v>
      </c>
      <c r="I24" s="24" t="str">
        <f>PROPER(B24)</f>
        <v>Fitness Tracker</v>
      </c>
      <c r="J24" s="24" t="str" cm="1">
        <f t="array" ref="J24">IF(F24="",_xlfn.SWITCH($B$2,"Laptop","Electronics","smartphone","Electronics","Tablet","Electronics","Headphones","Electronics","Blender","Kitchen","Coffee Maker","Kitchen","Sneakers","Fashion","T-shirt","Fashion",""),_xlfn.SWITCH(F24,"Electroni","Electronics","Electronics","Electronics","Fashion","Fashion","Kitchen","Kitchen","Outdoor","Outdoor","Accessories","Accessories"))</f>
        <v>Electronics</v>
      </c>
      <c r="K24" s="24" t="str">
        <f>PROPER(J24)</f>
        <v>Electronics</v>
      </c>
      <c r="L24" s="27" t="str">
        <f t="shared" si="0"/>
        <v>Fitness Tracker-Xiaomi</v>
      </c>
      <c r="M24" s="30">
        <f t="shared" si="1"/>
        <v>45857</v>
      </c>
      <c r="N24" s="27" t="str">
        <f t="shared" si="2"/>
        <v>BR</v>
      </c>
    </row>
    <row r="25" spans="1:14" ht="15.75" customHeight="1" x14ac:dyDescent="0.2">
      <c r="A25" s="16" t="s">
        <v>95</v>
      </c>
      <c r="B25" s="17" t="s">
        <v>96</v>
      </c>
      <c r="C25" s="17" t="s">
        <v>97</v>
      </c>
      <c r="D25" s="17">
        <v>800</v>
      </c>
      <c r="E25" s="17">
        <v>45</v>
      </c>
      <c r="F25" s="18" t="s">
        <v>28</v>
      </c>
      <c r="G25" s="26">
        <f>IF(D25="",MEDIAN($D$2:$D$32),D25)</f>
        <v>800</v>
      </c>
      <c r="H25" s="19" t="str">
        <f>IF(F25="","Electronics",F25)</f>
        <v>Electronics</v>
      </c>
      <c r="I25" s="24" t="str">
        <f>PROPER(B25)</f>
        <v>Smartphone</v>
      </c>
      <c r="J25" s="24" t="str" cm="1">
        <f t="array" ref="J25">IF(F25="",_xlfn.SWITCH($B$2,"Laptop","Electronics","smartphone","Electronics","Tablet","Electronics","Headphones","Electronics","Blender","Kitchen","Coffee Maker","Kitchen","Sneakers","Fashion","T-shirt","Fashion",""),_xlfn.SWITCH(F25,"Electroni","Electronics","Electronics","Electronics","Fashion","Fashion","Kitchen","Kitchen","Outdoor","Outdoor","Accessories","Accessories"))</f>
        <v>Electronics</v>
      </c>
      <c r="K25" s="24" t="str">
        <f>PROPER(J25)</f>
        <v>Electronics</v>
      </c>
      <c r="L25" s="27" t="str">
        <f t="shared" si="0"/>
        <v>Smartphone-Google</v>
      </c>
      <c r="M25" s="30">
        <f t="shared" si="1"/>
        <v>45929</v>
      </c>
      <c r="N25" s="27" t="str">
        <f t="shared" si="2"/>
        <v>CA</v>
      </c>
    </row>
    <row r="26" spans="1:14" ht="15.75" customHeight="1" x14ac:dyDescent="0.2">
      <c r="A26" s="20" t="s">
        <v>98</v>
      </c>
      <c r="B26" s="21" t="s">
        <v>81</v>
      </c>
      <c r="C26" s="21" t="s">
        <v>99</v>
      </c>
      <c r="D26" s="21"/>
      <c r="E26" s="21">
        <v>25</v>
      </c>
      <c r="F26" s="22" t="s">
        <v>32</v>
      </c>
      <c r="G26" s="26">
        <f>IF(D26="",MEDIAN($D$2:$D$32),D26)</f>
        <v>130</v>
      </c>
      <c r="H26" s="19" t="str">
        <f>IF(F26="","Electronics",F26)</f>
        <v>Fashion</v>
      </c>
      <c r="I26" s="24" t="str">
        <f>PROPER(B26)</f>
        <v>Sunglasses</v>
      </c>
      <c r="J26" s="24" t="str" cm="1">
        <f t="array" ref="J26">IF(F26="",_xlfn.SWITCH($B$2,"Laptop","Electronics","smartphone","Electronics","Tablet","Electronics","Headphones","Electronics","Blender","Kitchen","Coffee Maker","Kitchen","Sneakers","Fashion","T-shirt","Fashion",""),_xlfn.SWITCH(F26,"Electroni","Electronics","Electronics","Electronics","Fashion","Fashion","Kitchen","Kitchen","Outdoor","Outdoor","Accessories","Accessories"))</f>
        <v>Fashion</v>
      </c>
      <c r="K26" s="24" t="str">
        <f>PROPER(J26)</f>
        <v>Fashion</v>
      </c>
      <c r="L26" s="27" t="str">
        <f t="shared" si="0"/>
        <v>Sunglasses-Ray-Ban</v>
      </c>
      <c r="M26" s="30">
        <f t="shared" si="1"/>
        <v>45811</v>
      </c>
      <c r="N26" s="27" t="str">
        <f t="shared" si="2"/>
        <v>CA</v>
      </c>
    </row>
    <row r="27" spans="1:14" ht="15.75" customHeight="1" x14ac:dyDescent="0.2">
      <c r="A27" s="16" t="s">
        <v>100</v>
      </c>
      <c r="B27" s="17" t="s">
        <v>51</v>
      </c>
      <c r="C27" s="17" t="s">
        <v>101</v>
      </c>
      <c r="D27" s="17">
        <v>400</v>
      </c>
      <c r="E27" s="17">
        <v>40</v>
      </c>
      <c r="F27" s="18" t="s">
        <v>36</v>
      </c>
      <c r="G27" s="26">
        <f>IF(D27="",MEDIAN($D$2:$D$32),D27)</f>
        <v>400</v>
      </c>
      <c r="H27" s="19" t="str">
        <f>IF(F27="","Electronics",F27)</f>
        <v>Kitchen</v>
      </c>
      <c r="I27" s="24" t="str">
        <f>PROPER(B27)</f>
        <v>Blender</v>
      </c>
      <c r="J27" s="24" t="str" cm="1">
        <f t="array" ref="J27">IF(F27="",_xlfn.SWITCH($B$2,"Laptop","Electronics","smartphone","Electronics","Tablet","Electronics","Headphones","Electronics","Blender","Kitchen","Coffee Maker","Kitchen","Sneakers","Fashion","T-shirt","Fashion",""),_xlfn.SWITCH(F27,"Electroni","Electronics","Electronics","Electronics","Fashion","Fashion","Kitchen","Kitchen","Outdoor","Outdoor","Accessories","Accessories"))</f>
        <v>Kitchen</v>
      </c>
      <c r="K27" s="24" t="str">
        <f>PROPER(J27)</f>
        <v>Kitchen</v>
      </c>
      <c r="L27" s="27" t="str">
        <f t="shared" si="0"/>
        <v>Blender-Vitamix</v>
      </c>
      <c r="M27" s="30">
        <f t="shared" si="1"/>
        <v>45849</v>
      </c>
      <c r="N27" s="27" t="str">
        <f t="shared" si="2"/>
        <v>CA</v>
      </c>
    </row>
    <row r="28" spans="1:14" ht="15.75" customHeight="1" x14ac:dyDescent="0.2">
      <c r="A28" s="16" t="s">
        <v>102</v>
      </c>
      <c r="B28" s="17" t="s">
        <v>103</v>
      </c>
      <c r="C28" s="17" t="s">
        <v>104</v>
      </c>
      <c r="D28" s="17">
        <v>60</v>
      </c>
      <c r="E28" s="17">
        <v>30</v>
      </c>
      <c r="F28" s="18" t="s">
        <v>32</v>
      </c>
      <c r="G28" s="26">
        <f>IF(D28="",MEDIAN($D$2:$D$32),D28)</f>
        <v>60</v>
      </c>
      <c r="H28" s="19" t="str">
        <f>IF(F28="","Electronics",F28)</f>
        <v>Fashion</v>
      </c>
      <c r="I28" s="24" t="str">
        <f>PROPER(B28)</f>
        <v>Dress</v>
      </c>
      <c r="J28" s="24" t="str" cm="1">
        <f t="array" ref="J28">IF(F28="",_xlfn.SWITCH($B$2,"Laptop","Electronics","smartphone","Electronics","Tablet","Electronics","Headphones","Electronics","Blender","Kitchen","Coffee Maker","Kitchen","Sneakers","Fashion","T-shirt","Fashion",""),_xlfn.SWITCH(F28,"Electroni","Electronics","Electronics","Electronics","Fashion","Fashion","Kitchen","Kitchen","Outdoor","Outdoor","Accessories","Accessories"))</f>
        <v>Fashion</v>
      </c>
      <c r="K28" s="24" t="str">
        <f>PROPER(J28)</f>
        <v>Fashion</v>
      </c>
      <c r="L28" s="27" t="str">
        <f t="shared" si="0"/>
        <v>Dress-Zara</v>
      </c>
      <c r="M28" s="30">
        <f t="shared" si="1"/>
        <v>45723</v>
      </c>
      <c r="N28" s="27" t="str">
        <f t="shared" si="2"/>
        <v>CA</v>
      </c>
    </row>
    <row r="29" spans="1:14" ht="15.75" customHeight="1" x14ac:dyDescent="0.2">
      <c r="A29" s="20" t="s">
        <v>105</v>
      </c>
      <c r="B29" s="21" t="s">
        <v>106</v>
      </c>
      <c r="C29" s="21" t="s">
        <v>107</v>
      </c>
      <c r="D29" s="21">
        <v>40</v>
      </c>
      <c r="E29" s="21">
        <v>10</v>
      </c>
      <c r="F29" s="22" t="s">
        <v>36</v>
      </c>
      <c r="G29" s="26">
        <f>IF(D29="",MEDIAN($D$2:$D$32),D29)</f>
        <v>40</v>
      </c>
      <c r="H29" s="19" t="str">
        <f>IF(F29="","Electronics",F29)</f>
        <v>Kitchen</v>
      </c>
      <c r="I29" s="24" t="str">
        <f>PROPER(B29)</f>
        <v>Toaster</v>
      </c>
      <c r="J29" s="24" t="str" cm="1">
        <f t="array" ref="J29">IF(F29="",_xlfn.SWITCH($B$2,"Laptop","Electronics","smartphone","Electronics","Tablet","Electronics","Headphones","Electronics","Blender","Kitchen","Coffee Maker","Kitchen","Sneakers","Fashion","T-shirt","Fashion",""),_xlfn.SWITCH(F29,"Electroni","Electronics","Electronics","Electronics","Fashion","Fashion","Kitchen","Kitchen","Outdoor","Outdoor","Accessories","Accessories"))</f>
        <v>Kitchen</v>
      </c>
      <c r="K29" s="24" t="str">
        <f>PROPER(J29)</f>
        <v>Kitchen</v>
      </c>
      <c r="L29" s="27" t="str">
        <f t="shared" si="0"/>
        <v>Toaster-Hamilton</v>
      </c>
      <c r="M29" s="30">
        <f t="shared" si="1"/>
        <v>45760</v>
      </c>
      <c r="N29" s="27" t="str">
        <f t="shared" si="2"/>
        <v>CA</v>
      </c>
    </row>
    <row r="30" spans="1:14" ht="15.75" customHeight="1" x14ac:dyDescent="0.2">
      <c r="A30" s="16" t="s">
        <v>108</v>
      </c>
      <c r="B30" s="17" t="s">
        <v>93</v>
      </c>
      <c r="C30" s="17" t="s">
        <v>109</v>
      </c>
      <c r="D30" s="17">
        <v>130</v>
      </c>
      <c r="E30" s="17">
        <v>5</v>
      </c>
      <c r="F30" s="18" t="s">
        <v>28</v>
      </c>
      <c r="G30" s="26">
        <f>IF(D30="",MEDIAN($D$2:$D$32),D30)</f>
        <v>130</v>
      </c>
      <c r="H30" s="19" t="str">
        <f>IF(F30="","Electronics",F30)</f>
        <v>Electronics</v>
      </c>
      <c r="I30" s="24" t="str">
        <f>PROPER(B30)</f>
        <v>Fitness Tracker</v>
      </c>
      <c r="J30" s="24" t="str" cm="1">
        <f t="array" ref="J30">IF(F30="",_xlfn.SWITCH($B$2,"Laptop","Electronics","smartphone","Electronics","Tablet","Electronics","Headphones","Electronics","Blender","Kitchen","Coffee Maker","Kitchen","Sneakers","Fashion","T-shirt","Fashion",""),_xlfn.SWITCH(F30,"Electroni","Electronics","Electronics","Electronics","Fashion","Fashion","Kitchen","Kitchen","Outdoor","Outdoor","Accessories","Accessories"))</f>
        <v>Electronics</v>
      </c>
      <c r="K30" s="24" t="str">
        <f>PROPER(J30)</f>
        <v>Electronics</v>
      </c>
      <c r="L30" s="27" t="str">
        <f t="shared" si="0"/>
        <v>Fitness Tracker-Garmin</v>
      </c>
      <c r="M30" s="30">
        <f t="shared" si="1"/>
        <v>45801</v>
      </c>
      <c r="N30" s="27" t="str">
        <f t="shared" si="2"/>
        <v>CA</v>
      </c>
    </row>
    <row r="31" spans="1:14" ht="15.75" customHeight="1" x14ac:dyDescent="0.2">
      <c r="A31" s="20" t="s">
        <v>110</v>
      </c>
      <c r="B31" s="21" t="s">
        <v>111</v>
      </c>
      <c r="C31" s="21" t="s">
        <v>112</v>
      </c>
      <c r="D31" s="21">
        <v>50</v>
      </c>
      <c r="E31" s="21">
        <v>50</v>
      </c>
      <c r="F31" s="22" t="s">
        <v>32</v>
      </c>
      <c r="G31" s="26">
        <f>IF(D31="",MEDIAN($D$2:$D$32),D31)</f>
        <v>50</v>
      </c>
      <c r="H31" s="19" t="str">
        <f>IF(F31="","Electronics",F31)</f>
        <v>Fashion</v>
      </c>
      <c r="I31" s="24" t="str">
        <f>PROPER(B31)</f>
        <v>Jeans</v>
      </c>
      <c r="J31" s="24" t="str" cm="1">
        <f t="array" ref="J31">IF(F31="",_xlfn.SWITCH($B$2,"Laptop","Electronics","smartphone","Electronics","Tablet","Electronics","Headphones","Electronics","Blender","Kitchen","Coffee Maker","Kitchen","Sneakers","Fashion","T-shirt","Fashion",""),_xlfn.SWITCH(F31,"Electroni","Electronics","Electronics","Electronics","Fashion","Fashion","Kitchen","Kitchen","Outdoor","Outdoor","Accessories","Accessories"))</f>
        <v>Fashion</v>
      </c>
      <c r="K31" s="24" t="str">
        <f>PROPER(J31)</f>
        <v>Fashion</v>
      </c>
      <c r="L31" s="27" t="str">
        <f t="shared" si="0"/>
        <v>Jeans-Levi'S</v>
      </c>
      <c r="M31" s="30">
        <f t="shared" si="1"/>
        <v>45993</v>
      </c>
      <c r="N31" s="27" t="str">
        <f t="shared" si="2"/>
        <v>CA</v>
      </c>
    </row>
    <row r="32" spans="1:14" ht="15.75" customHeight="1" x14ac:dyDescent="0.2">
      <c r="A32" s="20" t="s">
        <v>113</v>
      </c>
      <c r="B32" s="21" t="s">
        <v>114</v>
      </c>
      <c r="C32" s="21" t="s">
        <v>115</v>
      </c>
      <c r="D32" s="21">
        <v>100</v>
      </c>
      <c r="E32" s="21">
        <v>20</v>
      </c>
      <c r="F32" s="22" t="s">
        <v>75</v>
      </c>
      <c r="G32" s="26">
        <f>IF(D32="",MEDIAN($D$2:$D$32),D32)</f>
        <v>100</v>
      </c>
      <c r="H32" s="19" t="str">
        <f>IF(F32="","Electronics",F32)</f>
        <v>Accessories</v>
      </c>
      <c r="I32" s="24" t="str">
        <f>PROPER(B32)</f>
        <v>Watch</v>
      </c>
      <c r="J32" s="24" t="str" cm="1">
        <f t="array" ref="J32">IF(F32="",_xlfn.SWITCH($B$2,"Laptop","Electronics","smartphone","Electronics","Tablet","Electronics","Headphones","Electronics","Blender","Kitchen","Coffee Maker","Kitchen","Sneakers","Fashion","T-shirt","Fashion",""),_xlfn.SWITCH(F32,"Electroni","Electronics","Electronics","Electronics","Fashion","Fashion","Kitchen","Kitchen","Outdoor","Outdoor","Accessories","Accessories"))</f>
        <v>Accessories</v>
      </c>
      <c r="K32" s="24" t="str">
        <f>PROPER(J32)</f>
        <v>Accessories</v>
      </c>
      <c r="L32" s="27" t="str">
        <f t="shared" si="0"/>
        <v>Watch-Casio</v>
      </c>
      <c r="M32" s="30">
        <f t="shared" si="1"/>
        <v>45847</v>
      </c>
      <c r="N32" s="27" t="str">
        <f t="shared" si="2"/>
        <v>FR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G1" sqref="G1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Cleaned</vt:lpstr>
      <vt:lpstr>Dataset Cleaning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2026-01-08T08:56:26Z</dcterms:created>
  <dcterms:modified xsi:type="dcterms:W3CDTF">2026-01-08T10:06:47Z</dcterms:modified>
</cp:coreProperties>
</file>